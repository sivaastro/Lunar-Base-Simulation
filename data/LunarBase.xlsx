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9"/>
  </bookViews>
  <sheets>
    <sheet name="Superadobes" sheetId="1" state="visible" r:id="rId2"/>
    <sheet name="PressurizedModules" sheetId="2" state="visible" r:id="rId3"/>
    <sheet name="SuperadobePaths" sheetId="3" state="visible" r:id="rId4"/>
    <sheet name="ControlTowers" sheetId="4" state="visible" r:id="rId5"/>
    <sheet name="SolarPanels" sheetId="5" state="visible" r:id="rId6"/>
    <sheet name="PavedRoads" sheetId="6" state="visible" r:id="rId7"/>
    <sheet name="LunarTransportationSheds" sheetId="7" state="visible" r:id="rId8"/>
    <sheet name="HumanQuitAreas" sheetId="8" state="visible" r:id="rId9"/>
    <sheet name="CommunicationCenters" sheetId="9" state="visible" r:id="rId10"/>
    <sheet name="LoadingDocks" sheetId="10" state="visible" r:id="rId11"/>
    <sheet name="LandingPads" sheetId="11" state="visible" r:id="rId12"/>
    <sheet name="ChargingStations" sheetId="12" state="visible" r:id="rId13"/>
    <sheet name="LandingPadRoads" sheetId="13" state="visible" r:id="rId14"/>
    <sheet name="FireKits" sheetId="14" state="visible" r:id="rId15"/>
    <sheet name="ExternalRobots" sheetId="15" state="visible" r:id="rId16"/>
    <sheet name="Sandbags" sheetId="16" state="visible" r:id="rId17"/>
    <sheet name="ExternalRobotParkingLocation" sheetId="17" state="visible" r:id="rId18"/>
    <sheet name="ExternalRobotChargingStations" sheetId="18" state="visible" r:id="rId19"/>
    <sheet name="ClearanceAreas" sheetId="19" state="visible" r:id="rId20"/>
    <sheet name="InternalRobotTracks" sheetId="20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<sst xmlns="http://schemas.openxmlformats.org/spreadsheetml/2006/main" count="446" uniqueCount="262">
  <si>
    <t xml:space="preserve">S No</t>
  </si>
  <si>
    <t xml:space="preserve">Tag</t>
  </si>
  <si>
    <t xml:space="preserve">Center_x</t>
  </si>
  <si>
    <t xml:space="preserve">Center_y</t>
  </si>
  <si>
    <t xml:space="preserve">Radius</t>
  </si>
  <si>
    <t xml:space="preserve">SA1</t>
  </si>
  <si>
    <t xml:space="preserve">SA2</t>
  </si>
  <si>
    <t xml:space="preserve">SA3</t>
  </si>
  <si>
    <t xml:space="preserve">SA4</t>
  </si>
  <si>
    <t xml:space="preserve">SA5</t>
  </si>
  <si>
    <t xml:space="preserve">SA6</t>
  </si>
  <si>
    <t xml:space="preserve">SA7</t>
  </si>
  <si>
    <t xml:space="preserve">SA8</t>
  </si>
  <si>
    <t xml:space="preserve">SA9</t>
  </si>
  <si>
    <t xml:space="preserve">SA10</t>
  </si>
  <si>
    <t xml:space="preserve">SA11</t>
  </si>
  <si>
    <t xml:space="preserve">SA12</t>
  </si>
  <si>
    <t xml:space="preserve">SA13</t>
  </si>
  <si>
    <t xml:space="preserve">SA14</t>
  </si>
  <si>
    <t xml:space="preserve">SA15</t>
  </si>
  <si>
    <t xml:space="preserve">SA16</t>
  </si>
  <si>
    <t xml:space="preserve">SA17</t>
  </si>
  <si>
    <t xml:space="preserve">SA18</t>
  </si>
  <si>
    <t xml:space="preserve">SA19</t>
  </si>
  <si>
    <t xml:space="preserve">SA20</t>
  </si>
  <si>
    <t xml:space="preserve">SA21</t>
  </si>
  <si>
    <t xml:space="preserve">SA22</t>
  </si>
  <si>
    <t xml:space="preserve">SA23</t>
  </si>
  <si>
    <t xml:space="preserve">SA24</t>
  </si>
  <si>
    <t xml:space="preserve">SA25</t>
  </si>
  <si>
    <t xml:space="preserve">SA26</t>
  </si>
  <si>
    <t xml:space="preserve">SA27</t>
  </si>
  <si>
    <t xml:space="preserve">SA28</t>
  </si>
  <si>
    <t xml:space="preserve">Corner_x</t>
  </si>
  <si>
    <t xml:space="preserve">Corner_y</t>
  </si>
  <si>
    <t xml:space="preserve">Length</t>
  </si>
  <si>
    <t xml:space="preserve">Width</t>
  </si>
  <si>
    <t xml:space="preserve">PM1</t>
  </si>
  <si>
    <t xml:space="preserve">PM2</t>
  </si>
  <si>
    <t xml:space="preserve">PM3</t>
  </si>
  <si>
    <t xml:space="preserve">PM4</t>
  </si>
  <si>
    <t xml:space="preserve">PM5</t>
  </si>
  <si>
    <t xml:space="preserve">PM6</t>
  </si>
  <si>
    <t xml:space="preserve">PM7</t>
  </si>
  <si>
    <t xml:space="preserve">PM8</t>
  </si>
  <si>
    <t xml:space="preserve">PM9</t>
  </si>
  <si>
    <t xml:space="preserve">PM10</t>
  </si>
  <si>
    <t xml:space="preserve">SP1</t>
  </si>
  <si>
    <t xml:space="preserve">SP2</t>
  </si>
  <si>
    <t xml:space="preserve">SP3</t>
  </si>
  <si>
    <t xml:space="preserve">SP4</t>
  </si>
  <si>
    <t xml:space="preserve">SP5</t>
  </si>
  <si>
    <t xml:space="preserve">SP6</t>
  </si>
  <si>
    <t xml:space="preserve">SP7</t>
  </si>
  <si>
    <t xml:space="preserve">SP8</t>
  </si>
  <si>
    <t xml:space="preserve">SP9</t>
  </si>
  <si>
    <t xml:space="preserve">SP10</t>
  </si>
  <si>
    <t xml:space="preserve">SP11</t>
  </si>
  <si>
    <t xml:space="preserve">SP12</t>
  </si>
  <si>
    <t xml:space="preserve">Height</t>
  </si>
  <si>
    <t xml:space="preserve">CT1</t>
  </si>
  <si>
    <t xml:space="preserve">CT2</t>
  </si>
  <si>
    <t xml:space="preserve">PR1</t>
  </si>
  <si>
    <t xml:space="preserve">PR2</t>
  </si>
  <si>
    <t xml:space="preserve">PR3</t>
  </si>
  <si>
    <t xml:space="preserve">PR4</t>
  </si>
  <si>
    <t xml:space="preserve">PR5</t>
  </si>
  <si>
    <t xml:space="preserve">PR6</t>
  </si>
  <si>
    <t xml:space="preserve">PR7</t>
  </si>
  <si>
    <t xml:space="preserve">PR8</t>
  </si>
  <si>
    <t xml:space="preserve">PR9</t>
  </si>
  <si>
    <t xml:space="preserve">PR10</t>
  </si>
  <si>
    <t xml:space="preserve">PR11</t>
  </si>
  <si>
    <t xml:space="preserve">PR12</t>
  </si>
  <si>
    <t xml:space="preserve">PR13</t>
  </si>
  <si>
    <t xml:space="preserve">LTS1</t>
  </si>
  <si>
    <t xml:space="preserve">LTS2</t>
  </si>
  <si>
    <t xml:space="preserve">LTS3</t>
  </si>
  <si>
    <t xml:space="preserve">LTS4</t>
  </si>
  <si>
    <t xml:space="preserve">HQ1</t>
  </si>
  <si>
    <t xml:space="preserve">HQ2</t>
  </si>
  <si>
    <t xml:space="preserve">HQ3</t>
  </si>
  <si>
    <t xml:space="preserve">RPA1</t>
  </si>
  <si>
    <t xml:space="preserve">HQ5</t>
  </si>
  <si>
    <t xml:space="preserve">CC1</t>
  </si>
  <si>
    <t xml:space="preserve">LD1</t>
  </si>
  <si>
    <t xml:space="preserve">LD2</t>
  </si>
  <si>
    <t xml:space="preserve">LD3</t>
  </si>
  <si>
    <t xml:space="preserve">LD4</t>
  </si>
  <si>
    <t xml:space="preserve">LD5</t>
  </si>
  <si>
    <t xml:space="preserve">LD6</t>
  </si>
  <si>
    <t xml:space="preserve">LP1</t>
  </si>
  <si>
    <t xml:space="preserve">LP2</t>
  </si>
  <si>
    <t xml:space="preserve">LP3</t>
  </si>
  <si>
    <t xml:space="preserve">LP4</t>
  </si>
  <si>
    <t xml:space="preserve">Park1</t>
  </si>
  <si>
    <t xml:space="preserve">Park2</t>
  </si>
  <si>
    <t xml:space="preserve">Park3</t>
  </si>
  <si>
    <t xml:space="preserve">Park4</t>
  </si>
  <si>
    <t xml:space="preserve">Park5</t>
  </si>
  <si>
    <t xml:space="preserve">Park6</t>
  </si>
  <si>
    <t xml:space="preserve">Corner_x1</t>
  </si>
  <si>
    <t xml:space="preserve">Corner_y1</t>
  </si>
  <si>
    <t xml:space="preserve">Corner_x2</t>
  </si>
  <si>
    <t xml:space="preserve">Corner_y2</t>
  </si>
  <si>
    <t xml:space="preserve">LPR1</t>
  </si>
  <si>
    <t xml:space="preserve">LPR2</t>
  </si>
  <si>
    <t xml:space="preserve">LPR3</t>
  </si>
  <si>
    <t xml:space="preserve">LPR4</t>
  </si>
  <si>
    <t xml:space="preserve">LPR5</t>
  </si>
  <si>
    <t xml:space="preserve">LPR6</t>
  </si>
  <si>
    <t xml:space="preserve">LPR7</t>
  </si>
  <si>
    <t xml:space="preserve">LPR8</t>
  </si>
  <si>
    <t xml:space="preserve">LPR9</t>
  </si>
  <si>
    <t xml:space="preserve">LPR10</t>
  </si>
  <si>
    <t xml:space="preserve">LPR11</t>
  </si>
  <si>
    <t xml:space="preserve">FK1</t>
  </si>
  <si>
    <t xml:space="preserve">FK2</t>
  </si>
  <si>
    <t xml:space="preserve">FK3</t>
  </si>
  <si>
    <t xml:space="preserve">FK4</t>
  </si>
  <si>
    <t xml:space="preserve">FK5</t>
  </si>
  <si>
    <t xml:space="preserve">FK6</t>
  </si>
  <si>
    <t xml:space="preserve">FK7</t>
  </si>
  <si>
    <t xml:space="preserve">FK8</t>
  </si>
  <si>
    <t xml:space="preserve">FK9</t>
  </si>
  <si>
    <t xml:space="preserve">FK10</t>
  </si>
  <si>
    <t xml:space="preserve">FK11</t>
  </si>
  <si>
    <t xml:space="preserve">FK12</t>
  </si>
  <si>
    <t xml:space="preserve">ER1</t>
  </si>
  <si>
    <t xml:space="preserve">ER2</t>
  </si>
  <si>
    <t xml:space="preserve">ER3</t>
  </si>
  <si>
    <t xml:space="preserve">ER4</t>
  </si>
  <si>
    <t xml:space="preserve">ER5</t>
  </si>
  <si>
    <t xml:space="preserve">ER6</t>
  </si>
  <si>
    <t xml:space="preserve">ER7</t>
  </si>
  <si>
    <t xml:space="preserve">ER8</t>
  </si>
  <si>
    <t xml:space="preserve">ER9</t>
  </si>
  <si>
    <t xml:space="preserve">ER10</t>
  </si>
  <si>
    <t xml:space="preserve">ER11</t>
  </si>
  <si>
    <t xml:space="preserve">ER12</t>
  </si>
  <si>
    <t xml:space="preserve">ER13</t>
  </si>
  <si>
    <t xml:space="preserve">SB1</t>
  </si>
  <si>
    <t xml:space="preserve">SB2</t>
  </si>
  <si>
    <t xml:space="preserve">SB3</t>
  </si>
  <si>
    <t xml:space="preserve">SB4</t>
  </si>
  <si>
    <t xml:space="preserve">SB5</t>
  </si>
  <si>
    <t xml:space="preserve">SB6</t>
  </si>
  <si>
    <t xml:space="preserve">SB7</t>
  </si>
  <si>
    <t xml:space="preserve">SB8</t>
  </si>
  <si>
    <t xml:space="preserve">SB9</t>
  </si>
  <si>
    <t xml:space="preserve">SB10</t>
  </si>
  <si>
    <t xml:space="preserve">SB11</t>
  </si>
  <si>
    <t xml:space="preserve">SB12</t>
  </si>
  <si>
    <t xml:space="preserve">SB13</t>
  </si>
  <si>
    <t xml:space="preserve">SB14</t>
  </si>
  <si>
    <t xml:space="preserve">SB15</t>
  </si>
  <si>
    <t xml:space="preserve">SB16</t>
  </si>
  <si>
    <t xml:space="preserve">SB17</t>
  </si>
  <si>
    <t xml:space="preserve">SB18</t>
  </si>
  <si>
    <t xml:space="preserve">SB19</t>
  </si>
  <si>
    <t xml:space="preserve">SB20</t>
  </si>
  <si>
    <t xml:space="preserve">SB21</t>
  </si>
  <si>
    <t xml:space="preserve">SB22</t>
  </si>
  <si>
    <t xml:space="preserve">SB23</t>
  </si>
  <si>
    <t xml:space="preserve">SB24</t>
  </si>
  <si>
    <t xml:space="preserve">SB25</t>
  </si>
  <si>
    <t xml:space="preserve">SB26</t>
  </si>
  <si>
    <t xml:space="preserve">SB27</t>
  </si>
  <si>
    <t xml:space="preserve">SB28</t>
  </si>
  <si>
    <t xml:space="preserve">SB29</t>
  </si>
  <si>
    <t xml:space="preserve">ERPL1</t>
  </si>
  <si>
    <t xml:space="preserve">ERCS1</t>
  </si>
  <si>
    <t xml:space="preserve">ERCS2</t>
  </si>
  <si>
    <t xml:space="preserve">ERCS3</t>
  </si>
  <si>
    <t xml:space="preserve">ERCS4</t>
  </si>
  <si>
    <t xml:space="preserve">CL1</t>
  </si>
  <si>
    <t xml:space="preserve">CL2</t>
  </si>
  <si>
    <t xml:space="preserve">CL3</t>
  </si>
  <si>
    <t xml:space="preserve">CL4</t>
  </si>
  <si>
    <t xml:space="preserve">CL5</t>
  </si>
  <si>
    <t xml:space="preserve">CL6</t>
  </si>
  <si>
    <t xml:space="preserve">CL7</t>
  </si>
  <si>
    <t xml:space="preserve">CL8</t>
  </si>
  <si>
    <t xml:space="preserve">CL9</t>
  </si>
  <si>
    <t xml:space="preserve">CL10</t>
  </si>
  <si>
    <t xml:space="preserve">CL11</t>
  </si>
  <si>
    <t xml:space="preserve">CL12</t>
  </si>
  <si>
    <t xml:space="preserve">CL13</t>
  </si>
  <si>
    <t xml:space="preserve">CL14</t>
  </si>
  <si>
    <t xml:space="preserve">CL15</t>
  </si>
  <si>
    <t xml:space="preserve">CL16</t>
  </si>
  <si>
    <t xml:space="preserve">CL17</t>
  </si>
  <si>
    <t xml:space="preserve">CL18</t>
  </si>
  <si>
    <t xml:space="preserve">CL19</t>
  </si>
  <si>
    <t xml:space="preserve">CL20</t>
  </si>
  <si>
    <t xml:space="preserve">CL21</t>
  </si>
  <si>
    <t xml:space="preserve">CL22</t>
  </si>
  <si>
    <t xml:space="preserve">CL23</t>
  </si>
  <si>
    <t xml:space="preserve">CL24</t>
  </si>
  <si>
    <t xml:space="preserve">CL25</t>
  </si>
  <si>
    <t xml:space="preserve">CL26</t>
  </si>
  <si>
    <t xml:space="preserve">CL27</t>
  </si>
  <si>
    <t xml:space="preserve">CL28</t>
  </si>
  <si>
    <t xml:space="preserve">CL29</t>
  </si>
  <si>
    <t xml:space="preserve">CL30</t>
  </si>
  <si>
    <t xml:space="preserve">CL31</t>
  </si>
  <si>
    <t xml:space="preserve">CL32</t>
  </si>
  <si>
    <t xml:space="preserve">X1</t>
  </si>
  <si>
    <t xml:space="preserve">Y1</t>
  </si>
  <si>
    <t xml:space="preserve">X2</t>
  </si>
  <si>
    <t xml:space="preserve">Y2</t>
  </si>
  <si>
    <t xml:space="preserve">Identification</t>
  </si>
  <si>
    <t xml:space="preserve">Note</t>
  </si>
  <si>
    <t xml:space="preserve">Path1</t>
  </si>
  <si>
    <t xml:space="preserve">Straight</t>
  </si>
  <si>
    <t xml:space="preserve">Path2</t>
  </si>
  <si>
    <t xml:space="preserve">Path3</t>
  </si>
  <si>
    <t xml:space="preserve">Cross</t>
  </si>
  <si>
    <t xml:space="preserve">Path4</t>
  </si>
  <si>
    <t xml:space="preserve">Path5</t>
  </si>
  <si>
    <t xml:space="preserve">Path6</t>
  </si>
  <si>
    <t xml:space="preserve">Path7</t>
  </si>
  <si>
    <t xml:space="preserve">Path8</t>
  </si>
  <si>
    <t xml:space="preserve">Path9</t>
  </si>
  <si>
    <t xml:space="preserve">Path10</t>
  </si>
  <si>
    <t xml:space="preserve">Path11</t>
  </si>
  <si>
    <t xml:space="preserve">Path12</t>
  </si>
  <si>
    <t xml:space="preserve">Path13</t>
  </si>
  <si>
    <t xml:space="preserve">Path14</t>
  </si>
  <si>
    <t xml:space="preserve">Path15</t>
  </si>
  <si>
    <t xml:space="preserve">Path16</t>
  </si>
  <si>
    <t xml:space="preserve">Path17</t>
  </si>
  <si>
    <t xml:space="preserve">Path18</t>
  </si>
  <si>
    <t xml:space="preserve">Path19</t>
  </si>
  <si>
    <t xml:space="preserve">Path20</t>
  </si>
  <si>
    <t xml:space="preserve">Path21</t>
  </si>
  <si>
    <t xml:space="preserve">Path22</t>
  </si>
  <si>
    <t xml:space="preserve">Path23</t>
  </si>
  <si>
    <t xml:space="preserve">Path24</t>
  </si>
  <si>
    <t xml:space="preserve">Path25</t>
  </si>
  <si>
    <t xml:space="preserve">Path26</t>
  </si>
  <si>
    <t xml:space="preserve">Path27</t>
  </si>
  <si>
    <t xml:space="preserve">Path28</t>
  </si>
  <si>
    <t xml:space="preserve">Path29</t>
  </si>
  <si>
    <t xml:space="preserve">Path30</t>
  </si>
  <si>
    <t xml:space="preserve">Rect1</t>
  </si>
  <si>
    <t xml:space="preserve">Rect</t>
  </si>
  <si>
    <t xml:space="preserve">Rect2</t>
  </si>
  <si>
    <t xml:space="preserve">Rect3</t>
  </si>
  <si>
    <t xml:space="preserve">Rect4</t>
  </si>
  <si>
    <t xml:space="preserve">Rect5</t>
  </si>
  <si>
    <t xml:space="preserve">Rect6</t>
  </si>
  <si>
    <t xml:space="preserve">Rect7</t>
  </si>
  <si>
    <t xml:space="preserve">Rect8</t>
  </si>
  <si>
    <t xml:space="preserve">Rect9</t>
  </si>
  <si>
    <t xml:space="preserve">Rect10</t>
  </si>
  <si>
    <t xml:space="preserve">Rect11</t>
  </si>
  <si>
    <t xml:space="preserve">Rect12</t>
  </si>
  <si>
    <t xml:space="preserve">Rect13</t>
  </si>
  <si>
    <t xml:space="preserve">Rect14</t>
  </si>
  <si>
    <t xml:space="preserve">Rect15</t>
  </si>
  <si>
    <t xml:space="preserve">Rect16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</si>
</sst>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  <charset val="1"/>
    </font>
    <font>
      <u val="single"/>
      <sz val="11"/>
      <color rgb="FF0563C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12.55"/>
    <col collapsed="false" customWidth="true" hidden="false" outlineLevel="0" max="2" min="2" style="0" width="8.33"/>
    <col collapsed="false" customWidth="true" hidden="false" outlineLevel="0" max="3" min="3" style="0" width="15.11"/>
    <col collapsed="false" customWidth="true" hidden="false" outlineLevel="0" max="4" min="4" style="0" width="18.11"/>
    <col collapsed="false" customWidth="true" hidden="false" outlineLevel="0" max="26" min="5" style="0" width="8.66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true" outlineLevel="0" collapsed="false">
      <c r="A2" s="1" t="n">
        <v>1</v>
      </c>
      <c r="B2" s="1" t="s">
        <v>5</v>
      </c>
      <c r="C2" s="1" t="n">
        <v>408.27</v>
      </c>
      <c r="D2" s="1" t="n">
        <v>182.83</v>
      </c>
      <c r="E2" s="1" t="n">
        <v>40</v>
      </c>
    </row>
    <row r="3" customFormat="false" ht="14.25" hidden="false" customHeight="true" outlineLevel="0" collapsed="false">
      <c r="A3" s="1" t="n">
        <f aca="false">A2+1</f>
        <v>2</v>
      </c>
      <c r="B3" s="1" t="s">
        <v>6</v>
      </c>
      <c r="C3" s="1" t="n">
        <v>408.27</v>
      </c>
      <c r="D3" s="1" t="n">
        <v>272.83</v>
      </c>
      <c r="E3" s="1" t="n">
        <v>40</v>
      </c>
    </row>
    <row r="4" customFormat="false" ht="14.25" hidden="false" customHeight="true" outlineLevel="0" collapsed="false">
      <c r="A4" s="1" t="n">
        <f aca="false">A3+1</f>
        <v>3</v>
      </c>
      <c r="B4" s="1" t="s">
        <v>7</v>
      </c>
      <c r="C4" s="1" t="n">
        <v>408.27</v>
      </c>
      <c r="D4" s="1" t="n">
        <v>362.83</v>
      </c>
      <c r="E4" s="1" t="n">
        <v>40</v>
      </c>
    </row>
    <row r="5" customFormat="false" ht="14.25" hidden="false" customHeight="true" outlineLevel="0" collapsed="false">
      <c r="A5" s="1" t="n">
        <f aca="false">A4+1</f>
        <v>4</v>
      </c>
      <c r="B5" s="1" t="s">
        <v>8</v>
      </c>
      <c r="C5" s="1" t="n">
        <v>408.27</v>
      </c>
      <c r="D5" s="1" t="n">
        <v>502.83</v>
      </c>
      <c r="E5" s="1" t="n">
        <v>40</v>
      </c>
      <c r="G5" s="1"/>
      <c r="H5" s="1"/>
      <c r="I5" s="1"/>
      <c r="J5" s="1"/>
    </row>
    <row r="6" customFormat="false" ht="14.25" hidden="false" customHeight="true" outlineLevel="0" collapsed="false">
      <c r="A6" s="1" t="n">
        <f aca="false">A5+1</f>
        <v>5</v>
      </c>
      <c r="B6" s="1" t="s">
        <v>9</v>
      </c>
      <c r="C6" s="1" t="n">
        <v>408.27</v>
      </c>
      <c r="D6" s="1" t="n">
        <v>592.83</v>
      </c>
      <c r="E6" s="1" t="n">
        <v>40</v>
      </c>
      <c r="G6" s="1"/>
      <c r="H6" s="1"/>
      <c r="I6" s="1"/>
      <c r="J6" s="1"/>
    </row>
    <row r="7" customFormat="false" ht="14.25" hidden="false" customHeight="true" outlineLevel="0" collapsed="false">
      <c r="A7" s="1" t="n">
        <f aca="false">A6+1</f>
        <v>6</v>
      </c>
      <c r="B7" s="1" t="s">
        <v>10</v>
      </c>
      <c r="C7" s="1" t="n">
        <v>408.27</v>
      </c>
      <c r="D7" s="1" t="n">
        <v>682.83</v>
      </c>
      <c r="E7" s="1" t="n">
        <v>40</v>
      </c>
      <c r="G7" s="1"/>
      <c r="H7" s="1"/>
      <c r="I7" s="1"/>
      <c r="J7" s="1"/>
    </row>
    <row r="8" customFormat="false" ht="14.25" hidden="false" customHeight="true" outlineLevel="0" collapsed="false">
      <c r="A8" s="1" t="n">
        <f aca="false">A7+1</f>
        <v>7</v>
      </c>
      <c r="B8" s="1" t="s">
        <v>11</v>
      </c>
      <c r="C8" s="1" t="n">
        <v>558.09</v>
      </c>
      <c r="D8" s="1" t="n">
        <v>182.83</v>
      </c>
      <c r="E8" s="1" t="n">
        <v>40</v>
      </c>
      <c r="G8" s="1"/>
      <c r="H8" s="1"/>
      <c r="I8" s="1"/>
      <c r="J8" s="1"/>
    </row>
    <row r="9" customFormat="false" ht="14.25" hidden="false" customHeight="true" outlineLevel="0" collapsed="false">
      <c r="A9" s="1" t="n">
        <f aca="false">A8+1</f>
        <v>8</v>
      </c>
      <c r="B9" s="1" t="s">
        <v>12</v>
      </c>
      <c r="C9" s="1" t="n">
        <v>558.09</v>
      </c>
      <c r="D9" s="1" t="n">
        <v>272.83</v>
      </c>
      <c r="E9" s="1" t="n">
        <v>40</v>
      </c>
      <c r="G9" s="1"/>
      <c r="H9" s="1"/>
      <c r="I9" s="1"/>
      <c r="J9" s="1"/>
    </row>
    <row r="10" customFormat="false" ht="14.25" hidden="false" customHeight="true" outlineLevel="0" collapsed="false">
      <c r="A10" s="1" t="n">
        <f aca="false">A9+1</f>
        <v>9</v>
      </c>
      <c r="B10" s="1" t="s">
        <v>13</v>
      </c>
      <c r="C10" s="1" t="n">
        <v>558.09</v>
      </c>
      <c r="D10" s="1" t="n">
        <v>362.83</v>
      </c>
      <c r="E10" s="1" t="n">
        <v>40</v>
      </c>
      <c r="G10" s="1"/>
      <c r="H10" s="1"/>
      <c r="I10" s="1"/>
      <c r="J10" s="1"/>
    </row>
    <row r="11" customFormat="false" ht="14.25" hidden="false" customHeight="true" outlineLevel="0" collapsed="false">
      <c r="A11" s="1" t="n">
        <f aca="false">A10+1</f>
        <v>10</v>
      </c>
      <c r="B11" s="1" t="s">
        <v>14</v>
      </c>
      <c r="C11" s="1" t="n">
        <v>558.09</v>
      </c>
      <c r="D11" s="1" t="n">
        <v>502.83</v>
      </c>
      <c r="E11" s="1" t="n">
        <v>40</v>
      </c>
      <c r="G11" s="1"/>
      <c r="H11" s="1"/>
      <c r="I11" s="1"/>
    </row>
    <row r="12" customFormat="false" ht="14.25" hidden="false" customHeight="true" outlineLevel="0" collapsed="false">
      <c r="A12" s="1" t="n">
        <f aca="false">A11+1</f>
        <v>11</v>
      </c>
      <c r="B12" s="1" t="s">
        <v>15</v>
      </c>
      <c r="C12" s="1" t="n">
        <v>558.09</v>
      </c>
      <c r="D12" s="1" t="n">
        <v>682.83</v>
      </c>
      <c r="E12" s="1" t="n">
        <v>40</v>
      </c>
      <c r="G12" s="1"/>
      <c r="H12" s="1"/>
      <c r="I12" s="1"/>
    </row>
    <row r="13" customFormat="false" ht="14.25" hidden="false" customHeight="true" outlineLevel="0" collapsed="false">
      <c r="A13" s="1" t="n">
        <f aca="false">A12+1</f>
        <v>12</v>
      </c>
      <c r="B13" s="1" t="s">
        <v>16</v>
      </c>
      <c r="C13" s="1" t="n">
        <v>698.09</v>
      </c>
      <c r="D13" s="1" t="n">
        <v>182.83</v>
      </c>
      <c r="E13" s="1" t="n">
        <v>40</v>
      </c>
      <c r="G13" s="1"/>
      <c r="H13" s="1"/>
      <c r="I13" s="1"/>
    </row>
    <row r="14" customFormat="false" ht="14.25" hidden="false" customHeight="true" outlineLevel="0" collapsed="false">
      <c r="A14" s="1" t="n">
        <f aca="false">A13+1</f>
        <v>13</v>
      </c>
      <c r="B14" s="1" t="s">
        <v>17</v>
      </c>
      <c r="C14" s="1" t="n">
        <v>698.09</v>
      </c>
      <c r="D14" s="1" t="n">
        <v>272.83</v>
      </c>
      <c r="E14" s="1" t="n">
        <v>40</v>
      </c>
      <c r="H14" s="1"/>
      <c r="I14" s="1"/>
    </row>
    <row r="15" customFormat="false" ht="14.25" hidden="false" customHeight="true" outlineLevel="0" collapsed="false">
      <c r="A15" s="1" t="n">
        <f aca="false">A14+1</f>
        <v>14</v>
      </c>
      <c r="B15" s="1" t="s">
        <v>18</v>
      </c>
      <c r="C15" s="1" t="n">
        <v>698.09</v>
      </c>
      <c r="D15" s="1" t="n">
        <v>362.83</v>
      </c>
      <c r="E15" s="1" t="n">
        <v>40</v>
      </c>
      <c r="H15" s="1"/>
      <c r="I15" s="1"/>
    </row>
    <row r="16" customFormat="false" ht="14.25" hidden="false" customHeight="true" outlineLevel="0" collapsed="false">
      <c r="A16" s="1" t="n">
        <f aca="false">A15+1</f>
        <v>15</v>
      </c>
      <c r="B16" s="1" t="s">
        <v>19</v>
      </c>
      <c r="C16" s="1" t="n">
        <v>698.09</v>
      </c>
      <c r="D16" s="1" t="n">
        <v>502.83</v>
      </c>
      <c r="E16" s="1" t="n">
        <v>40</v>
      </c>
    </row>
    <row r="17" customFormat="false" ht="14.25" hidden="false" customHeight="true" outlineLevel="0" collapsed="false">
      <c r="A17" s="1" t="n">
        <f aca="false">A16+1</f>
        <v>16</v>
      </c>
      <c r="B17" s="1" t="s">
        <v>20</v>
      </c>
      <c r="C17" s="1" t="n">
        <v>698.09</v>
      </c>
      <c r="D17" s="1" t="n">
        <v>592.83</v>
      </c>
      <c r="E17" s="1" t="n">
        <v>40</v>
      </c>
    </row>
    <row r="18" customFormat="false" ht="14.25" hidden="false" customHeight="true" outlineLevel="0" collapsed="false">
      <c r="A18" s="1" t="n">
        <f aca="false">A17+1</f>
        <v>17</v>
      </c>
      <c r="B18" s="1" t="s">
        <v>21</v>
      </c>
      <c r="C18" s="1" t="n">
        <v>698.09</v>
      </c>
      <c r="D18" s="1" t="n">
        <v>682.83</v>
      </c>
      <c r="E18" s="1" t="n">
        <v>40</v>
      </c>
    </row>
    <row r="19" customFormat="false" ht="14.25" hidden="false" customHeight="true" outlineLevel="0" collapsed="false">
      <c r="A19" s="1" t="n">
        <f aca="false">A18+1</f>
        <v>18</v>
      </c>
      <c r="B19" s="1" t="s">
        <v>22</v>
      </c>
      <c r="C19" s="1" t="n">
        <v>1010.54</v>
      </c>
      <c r="D19" s="1" t="n">
        <v>182.83</v>
      </c>
      <c r="E19" s="1" t="n">
        <v>40</v>
      </c>
    </row>
    <row r="20" customFormat="false" ht="14.25" hidden="false" customHeight="true" outlineLevel="0" collapsed="false">
      <c r="A20" s="1" t="n">
        <f aca="false">A19+1</f>
        <v>19</v>
      </c>
      <c r="B20" s="1" t="s">
        <v>23</v>
      </c>
      <c r="C20" s="1" t="n">
        <v>1010.54</v>
      </c>
      <c r="D20" s="1" t="n">
        <v>362.83</v>
      </c>
      <c r="E20" s="1" t="n">
        <v>40</v>
      </c>
    </row>
    <row r="21" customFormat="false" ht="14.25" hidden="false" customHeight="true" outlineLevel="0" collapsed="false">
      <c r="A21" s="1" t="n">
        <f aca="false">A20+1</f>
        <v>20</v>
      </c>
      <c r="B21" s="1" t="s">
        <v>24</v>
      </c>
      <c r="C21" s="1" t="n">
        <v>1010.54</v>
      </c>
      <c r="D21" s="1" t="n">
        <v>502.83</v>
      </c>
      <c r="E21" s="1" t="n">
        <v>40</v>
      </c>
    </row>
    <row r="22" customFormat="false" ht="14.25" hidden="false" customHeight="true" outlineLevel="0" collapsed="false">
      <c r="A22" s="1" t="n">
        <f aca="false">A21+1</f>
        <v>21</v>
      </c>
      <c r="B22" s="1" t="s">
        <v>25</v>
      </c>
      <c r="C22" s="1" t="n">
        <v>1010.54</v>
      </c>
      <c r="D22" s="1" t="n">
        <v>592.83</v>
      </c>
      <c r="E22" s="1" t="n">
        <v>40</v>
      </c>
    </row>
    <row r="23" customFormat="false" ht="14.25" hidden="false" customHeight="true" outlineLevel="0" collapsed="false">
      <c r="A23" s="1" t="n">
        <f aca="false">A22+1</f>
        <v>22</v>
      </c>
      <c r="B23" s="1" t="s">
        <v>26</v>
      </c>
      <c r="C23" s="1" t="n">
        <v>1010.54</v>
      </c>
      <c r="D23" s="1" t="n">
        <v>682.83</v>
      </c>
      <c r="E23" s="1" t="n">
        <v>40</v>
      </c>
    </row>
    <row r="24" customFormat="false" ht="14.25" hidden="false" customHeight="true" outlineLevel="0" collapsed="false">
      <c r="A24" s="0" t="n">
        <v>23</v>
      </c>
      <c r="B24" s="1" t="s">
        <v>27</v>
      </c>
      <c r="C24" s="1" t="n">
        <v>1150.65</v>
      </c>
      <c r="D24" s="1" t="n">
        <v>182.83</v>
      </c>
      <c r="E24" s="1" t="n">
        <v>40</v>
      </c>
    </row>
    <row r="25" customFormat="false" ht="14.25" hidden="false" customHeight="true" outlineLevel="0" collapsed="false">
      <c r="A25" s="0" t="n">
        <v>24</v>
      </c>
      <c r="B25" s="1" t="s">
        <v>28</v>
      </c>
      <c r="C25" s="1" t="n">
        <v>1150.65</v>
      </c>
      <c r="D25" s="1" t="n">
        <v>272.83</v>
      </c>
      <c r="E25" s="1" t="n">
        <v>40</v>
      </c>
    </row>
    <row r="26" customFormat="false" ht="14.25" hidden="false" customHeight="true" outlineLevel="0" collapsed="false">
      <c r="A26" s="0" t="n">
        <v>25</v>
      </c>
      <c r="B26" s="1" t="s">
        <v>29</v>
      </c>
      <c r="C26" s="1" t="n">
        <v>1150.65</v>
      </c>
      <c r="D26" s="1" t="n">
        <v>362.83</v>
      </c>
      <c r="E26" s="1" t="n">
        <v>40</v>
      </c>
    </row>
    <row r="27" customFormat="false" ht="14.25" hidden="false" customHeight="true" outlineLevel="0" collapsed="false">
      <c r="A27" s="0" t="n">
        <v>26</v>
      </c>
      <c r="B27" s="1" t="s">
        <v>30</v>
      </c>
      <c r="C27" s="1" t="n">
        <v>1150.65</v>
      </c>
      <c r="D27" s="1" t="n">
        <v>502.83</v>
      </c>
      <c r="E27" s="1" t="n">
        <v>40</v>
      </c>
    </row>
    <row r="28" customFormat="false" ht="14.25" hidden="false" customHeight="true" outlineLevel="0" collapsed="false">
      <c r="A28" s="0" t="n">
        <v>27</v>
      </c>
      <c r="B28" s="1" t="s">
        <v>31</v>
      </c>
      <c r="C28" s="1" t="n">
        <v>1150.65</v>
      </c>
      <c r="D28" s="1" t="n">
        <v>592.83</v>
      </c>
      <c r="E28" s="1" t="n">
        <v>40</v>
      </c>
    </row>
    <row r="29" customFormat="false" ht="14.25" hidden="false" customHeight="true" outlineLevel="0" collapsed="false">
      <c r="A29" s="0" t="n">
        <v>28</v>
      </c>
      <c r="B29" s="1" t="s">
        <v>32</v>
      </c>
      <c r="C29" s="1" t="n">
        <v>1150.65</v>
      </c>
      <c r="D29" s="1" t="n">
        <v>682.83</v>
      </c>
      <c r="E29" s="1" t="n">
        <v>40</v>
      </c>
    </row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8" activeCellId="0" sqref="N18"/>
    </sheetView>
  </sheetViews>
  <sheetFormatPr defaultColWidth="14.48828125" defaultRowHeight="15" zeroHeight="false" outlineLevelRow="0" outlineLevelCol="0"/>
  <cols>
    <col collapsed="false" customWidth="true" hidden="false" outlineLevel="0" max="26" min="1" style="0" width="8.66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</row>
    <row r="2" customFormat="false" ht="14.25" hidden="false" customHeight="true" outlineLevel="0" collapsed="false">
      <c r="A2" s="1" t="n">
        <v>1</v>
      </c>
      <c r="B2" s="1" t="s">
        <v>37</v>
      </c>
      <c r="C2" s="0" t="n">
        <v>618.09</v>
      </c>
      <c r="D2" s="0" t="n">
        <v>122.83</v>
      </c>
      <c r="E2" s="0" t="n">
        <v>20</v>
      </c>
      <c r="F2" s="0" t="n">
        <v>300</v>
      </c>
    </row>
    <row r="3" customFormat="false" ht="14.25" hidden="false" customHeight="true" outlineLevel="0" collapsed="false">
      <c r="A3" s="1" t="n">
        <f aca="false">A2+1</f>
        <v>2</v>
      </c>
      <c r="B3" s="1" t="s">
        <v>38</v>
      </c>
      <c r="C3" s="0" t="n">
        <v>843.82</v>
      </c>
      <c r="D3" s="0" t="n">
        <v>117.83</v>
      </c>
      <c r="E3" s="0" t="n">
        <v>20</v>
      </c>
      <c r="F3" s="0" t="n">
        <v>295</v>
      </c>
    </row>
    <row r="4" customFormat="false" ht="14.25" hidden="false" customHeight="true" outlineLevel="0" collapsed="false">
      <c r="A4" s="1" t="n">
        <f aca="false">A3+1</f>
        <v>3</v>
      </c>
      <c r="B4" s="1" t="s">
        <v>39</v>
      </c>
      <c r="C4" s="0" t="n">
        <v>1070.54</v>
      </c>
      <c r="D4" s="0" t="n">
        <v>117.83</v>
      </c>
      <c r="E4" s="0" t="n">
        <v>20</v>
      </c>
      <c r="F4" s="0" t="n">
        <v>305</v>
      </c>
    </row>
    <row r="5" customFormat="false" ht="14.25" hidden="false" customHeight="true" outlineLevel="0" collapsed="false">
      <c r="A5" s="1" t="n">
        <f aca="false">A4+1</f>
        <v>4</v>
      </c>
      <c r="B5" s="1" t="s">
        <v>40</v>
      </c>
      <c r="C5" s="0" t="n">
        <f aca="false">553.09-5</f>
        <v>548.09</v>
      </c>
      <c r="D5" s="0" t="n">
        <v>422.83</v>
      </c>
      <c r="E5" s="0" t="n">
        <v>70</v>
      </c>
      <c r="F5" s="0" t="n">
        <v>20</v>
      </c>
    </row>
    <row r="6" customFormat="false" ht="14.25" hidden="false" customHeight="true" outlineLevel="0" collapsed="false">
      <c r="A6" s="1" t="n">
        <f aca="false">A5+1</f>
        <v>5</v>
      </c>
      <c r="B6" s="1" t="s">
        <v>41</v>
      </c>
      <c r="C6" s="0" t="n">
        <v>618.09</v>
      </c>
      <c r="D6" s="0" t="n">
        <v>442.83</v>
      </c>
      <c r="E6" s="0" t="n">
        <v>20</v>
      </c>
      <c r="F6" s="0" t="n">
        <v>300</v>
      </c>
    </row>
    <row r="7" customFormat="false" ht="14.25" hidden="false" customHeight="true" outlineLevel="0" collapsed="false">
      <c r="A7" s="1" t="n">
        <f aca="false">A6+1</f>
        <v>6</v>
      </c>
      <c r="B7" s="1" t="s">
        <v>42</v>
      </c>
      <c r="C7" s="0" t="n">
        <v>638.09</v>
      </c>
      <c r="D7" s="0" t="n">
        <v>422.83</v>
      </c>
      <c r="E7" s="0" t="n">
        <v>195</v>
      </c>
      <c r="F7" s="0" t="n">
        <v>20</v>
      </c>
    </row>
    <row r="8" customFormat="false" ht="14.25" hidden="false" customHeight="true" outlineLevel="0" collapsed="false">
      <c r="A8" s="1" t="n">
        <v>7</v>
      </c>
      <c r="B8" s="1" t="s">
        <v>43</v>
      </c>
      <c r="C8" s="0" t="n">
        <v>843.82</v>
      </c>
      <c r="D8" s="0" t="n">
        <v>454.56</v>
      </c>
      <c r="E8" s="0" t="n">
        <v>20</v>
      </c>
      <c r="F8" s="0" t="n">
        <v>305</v>
      </c>
    </row>
    <row r="9" customFormat="false" ht="14.25" hidden="false" customHeight="true" outlineLevel="0" collapsed="false">
      <c r="A9" s="1" t="n">
        <v>8</v>
      </c>
      <c r="B9" s="1" t="s">
        <v>44</v>
      </c>
      <c r="C9" s="0" t="n">
        <v>875.54</v>
      </c>
      <c r="D9" s="0" t="n">
        <v>422.83</v>
      </c>
      <c r="E9" s="0" t="n">
        <v>195</v>
      </c>
      <c r="F9" s="0" t="n">
        <v>20</v>
      </c>
    </row>
    <row r="10" customFormat="false" ht="14.25" hidden="false" customHeight="true" outlineLevel="0" collapsed="false">
      <c r="A10" s="1" t="n">
        <v>9</v>
      </c>
      <c r="B10" s="1" t="s">
        <v>45</v>
      </c>
      <c r="C10" s="0" t="n">
        <v>1070.54</v>
      </c>
      <c r="D10" s="0" t="n">
        <v>442.83</v>
      </c>
      <c r="E10" s="0" t="n">
        <v>20</v>
      </c>
      <c r="F10" s="0" t="n">
        <v>305</v>
      </c>
    </row>
    <row r="11" customFormat="false" ht="14.25" hidden="false" customHeight="true" outlineLevel="0" collapsed="false">
      <c r="A11" s="1" t="n">
        <v>10</v>
      </c>
      <c r="B11" s="1" t="s">
        <v>46</v>
      </c>
      <c r="C11" s="0" t="n">
        <v>1090.54</v>
      </c>
      <c r="D11" s="0" t="n">
        <v>422.83</v>
      </c>
      <c r="E11" s="0" t="n">
        <v>220</v>
      </c>
      <c r="F11" s="0" t="n">
        <v>20</v>
      </c>
    </row>
    <row r="12" customFormat="false" ht="14.25" hidden="false" customHeight="true" outlineLevel="0" collapsed="false">
      <c r="A12" s="1"/>
      <c r="B12" s="1"/>
    </row>
    <row r="13" customFormat="false" ht="14.25" hidden="false" customHeight="true" outlineLevel="0" collapsed="false">
      <c r="A13" s="1"/>
      <c r="B13" s="1"/>
    </row>
    <row r="14" customFormat="false" ht="14.25" hidden="false" customHeight="true" outlineLevel="0" collapsed="false">
      <c r="A14" s="1"/>
      <c r="B14" s="1"/>
    </row>
    <row r="15" customFormat="false" ht="14.25" hidden="false" customHeight="true" outlineLevel="0" collapsed="false">
      <c r="A15" s="1"/>
      <c r="B15" s="1"/>
    </row>
    <row r="16" customFormat="false" ht="14.25" hidden="false" customHeight="true" outlineLevel="0" collapsed="false">
      <c r="A16" s="1"/>
      <c r="B16" s="1"/>
    </row>
    <row r="17" customFormat="false" ht="14.25" hidden="false" customHeight="true" outlineLevel="0" collapsed="false">
      <c r="A17" s="1"/>
      <c r="B17" s="1"/>
    </row>
    <row r="18" customFormat="false" ht="14.25" hidden="false" customHeight="true" outlineLevel="0" collapsed="false">
      <c r="A18" s="1"/>
      <c r="B18" s="1"/>
    </row>
    <row r="19" customFormat="false" ht="14.25" hidden="false" customHeight="true" outlineLevel="0" collapsed="false">
      <c r="A19" s="1"/>
      <c r="B19" s="1"/>
    </row>
    <row r="20" customFormat="false" ht="14.25" hidden="false" customHeight="true" outlineLevel="0" collapsed="false">
      <c r="A20" s="1"/>
      <c r="B20" s="1"/>
    </row>
    <row r="21" customFormat="false" ht="14.25" hidden="false" customHeight="true" outlineLevel="0" collapsed="false">
      <c r="A21" s="1"/>
      <c r="B21" s="1"/>
    </row>
    <row r="22" customFormat="false" ht="14.25" hidden="false" customHeight="true" outlineLevel="0" collapsed="false">
      <c r="A22" s="1"/>
      <c r="B22" s="1"/>
    </row>
    <row r="23" customFormat="false" ht="14.25" hidden="false" customHeight="true" outlineLevel="0" collapsed="false">
      <c r="A23" s="1"/>
      <c r="B23" s="1"/>
    </row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</row>
    <row r="2" customFormat="false" ht="13.8" hidden="false" customHeight="false" outlineLevel="0" collapsed="false">
      <c r="A2" s="0" t="n">
        <v>1</v>
      </c>
      <c r="B2" s="1" t="s">
        <v>47</v>
      </c>
      <c r="C2" s="0" t="n">
        <v>596.92</v>
      </c>
      <c r="D2" s="0" t="n">
        <v>172.83</v>
      </c>
      <c r="E2" s="0" t="n">
        <v>62</v>
      </c>
      <c r="F2" s="0" t="n">
        <v>20</v>
      </c>
    </row>
    <row r="3" customFormat="false" ht="13.8" hidden="false" customHeight="false" outlineLevel="0" collapsed="false">
      <c r="A3" s="0" t="n">
        <v>2</v>
      </c>
      <c r="B3" s="1" t="s">
        <v>48</v>
      </c>
      <c r="C3" s="0" t="n">
        <v>596.92</v>
      </c>
      <c r="D3" s="0" t="n">
        <v>262.83</v>
      </c>
      <c r="E3" s="0" t="n">
        <v>62</v>
      </c>
      <c r="F3" s="0" t="n">
        <v>20</v>
      </c>
    </row>
    <row r="4" customFormat="false" ht="13.8" hidden="false" customHeight="false" outlineLevel="0" collapsed="false">
      <c r="A4" s="0" t="n">
        <v>3</v>
      </c>
      <c r="B4" s="1" t="s">
        <v>49</v>
      </c>
      <c r="C4" s="0" t="n">
        <v>596.92</v>
      </c>
      <c r="D4" s="0" t="n">
        <v>352.83</v>
      </c>
      <c r="E4" s="0" t="n">
        <v>62</v>
      </c>
      <c r="F4" s="0" t="n">
        <v>20</v>
      </c>
    </row>
    <row r="5" customFormat="false" ht="13.8" hidden="false" customHeight="false" outlineLevel="0" collapsed="false">
      <c r="A5" s="0" t="n">
        <v>4</v>
      </c>
      <c r="B5" s="1" t="s">
        <v>50</v>
      </c>
      <c r="C5" s="0" t="n">
        <v>596.92</v>
      </c>
      <c r="D5" s="0" t="n">
        <v>492.83</v>
      </c>
      <c r="E5" s="0" t="n">
        <v>62</v>
      </c>
      <c r="F5" s="0" t="n">
        <v>20</v>
      </c>
    </row>
    <row r="6" customFormat="false" ht="13.8" hidden="false" customHeight="false" outlineLevel="0" collapsed="false">
      <c r="A6" s="0" t="n">
        <v>5</v>
      </c>
      <c r="B6" s="1" t="s">
        <v>51</v>
      </c>
      <c r="C6" s="0" t="n">
        <v>596.92</v>
      </c>
      <c r="D6" s="0" t="n">
        <v>672.83</v>
      </c>
      <c r="E6" s="0" t="n">
        <v>62</v>
      </c>
      <c r="F6" s="0" t="n">
        <v>20</v>
      </c>
    </row>
    <row r="7" customFormat="false" ht="13.8" hidden="false" customHeight="false" outlineLevel="0" collapsed="false">
      <c r="A7" s="0" t="n">
        <v>6</v>
      </c>
      <c r="B7" s="1" t="s">
        <v>52</v>
      </c>
      <c r="C7" s="0" t="n">
        <v>1049.38</v>
      </c>
      <c r="D7" s="0" t="n">
        <v>172.83</v>
      </c>
      <c r="E7" s="0" t="n">
        <v>62</v>
      </c>
      <c r="F7" s="0" t="n">
        <v>20</v>
      </c>
    </row>
    <row r="8" customFormat="false" ht="13.8" hidden="false" customHeight="false" outlineLevel="0" collapsed="false">
      <c r="A8" s="0" t="n">
        <v>7</v>
      </c>
      <c r="B8" s="1" t="s">
        <v>53</v>
      </c>
      <c r="C8" s="0" t="n">
        <v>1049.38</v>
      </c>
      <c r="D8" s="0" t="n">
        <v>352.83</v>
      </c>
      <c r="E8" s="0" t="n">
        <v>62</v>
      </c>
      <c r="F8" s="0" t="n">
        <v>20</v>
      </c>
    </row>
    <row r="9" customFormat="false" ht="13.8" hidden="false" customHeight="false" outlineLevel="0" collapsed="false">
      <c r="A9" s="0" t="n">
        <v>8</v>
      </c>
      <c r="B9" s="1" t="s">
        <v>54</v>
      </c>
      <c r="C9" s="0" t="n">
        <v>1049.38</v>
      </c>
      <c r="D9" s="0" t="n">
        <v>492.83</v>
      </c>
      <c r="E9" s="0" t="n">
        <v>62</v>
      </c>
      <c r="F9" s="0" t="n">
        <v>20</v>
      </c>
    </row>
    <row r="10" customFormat="false" ht="13.8" hidden="false" customHeight="false" outlineLevel="0" collapsed="false">
      <c r="A10" s="0" t="n">
        <v>9</v>
      </c>
      <c r="B10" s="1" t="s">
        <v>55</v>
      </c>
      <c r="C10" s="0" t="n">
        <v>1049.38</v>
      </c>
      <c r="D10" s="0" t="n">
        <v>582.83</v>
      </c>
      <c r="E10" s="0" t="n">
        <v>62</v>
      </c>
      <c r="F10" s="0" t="n">
        <v>20</v>
      </c>
    </row>
    <row r="11" customFormat="false" ht="13.8" hidden="false" customHeight="false" outlineLevel="0" collapsed="false">
      <c r="A11" s="0" t="n">
        <v>10</v>
      </c>
      <c r="B11" s="1" t="s">
        <v>56</v>
      </c>
      <c r="C11" s="0" t="n">
        <v>1049.38</v>
      </c>
      <c r="D11" s="0" t="n">
        <v>672.83</v>
      </c>
      <c r="E11" s="0" t="n">
        <v>62</v>
      </c>
      <c r="F11" s="0" t="n">
        <v>20</v>
      </c>
    </row>
    <row r="12" customFormat="false" ht="13.8" hidden="false" customHeight="false" outlineLevel="0" collapsed="false">
      <c r="A12" s="0" t="n">
        <v>11</v>
      </c>
      <c r="B12" s="1" t="s">
        <v>57</v>
      </c>
      <c r="C12" s="0" t="n">
        <v>638.83</v>
      </c>
      <c r="D12" s="0" t="n">
        <v>582.83</v>
      </c>
      <c r="E12" s="0" t="n">
        <v>20</v>
      </c>
      <c r="F12" s="0" t="n">
        <v>22</v>
      </c>
    </row>
    <row r="13" customFormat="false" ht="13.8" hidden="false" customHeight="false" outlineLevel="0" collapsed="false">
      <c r="A13" s="0" t="n">
        <v>12</v>
      </c>
      <c r="B13" s="1" t="s">
        <v>58</v>
      </c>
      <c r="C13" s="0" t="n">
        <v>1090.65</v>
      </c>
      <c r="D13" s="0" t="n">
        <v>262.83</v>
      </c>
      <c r="E13" s="0" t="n">
        <v>20</v>
      </c>
      <c r="F13" s="0" t="n">
        <v>22</v>
      </c>
    </row>
    <row r="14" customFormat="false" ht="14.25" hidden="false" customHeight="false" outlineLevel="0" collapsed="false">
      <c r="B14" s="1"/>
    </row>
    <row r="15" customFormat="false" ht="14.25" hidden="false" customHeight="false" outlineLevel="0" collapsed="false">
      <c r="B15" s="1"/>
    </row>
    <row r="16" customFormat="false" ht="14.25" hidden="false" customHeight="false" outlineLevel="0" collapsed="false">
      <c r="B16" s="1"/>
    </row>
    <row r="17" customFormat="false" ht="14.25" hidden="false" customHeight="false" outlineLevel="0" collapsed="false">
      <c r="B17" s="1"/>
    </row>
    <row r="18" customFormat="false" ht="14.25" hidden="false" customHeight="false" outlineLevel="0" collapsed="false">
      <c r="B18" s="1"/>
    </row>
    <row r="19" customFormat="false" ht="14.25" hidden="false" customHeight="false" outlineLevel="0" collapsed="false">
      <c r="B19" s="1"/>
    </row>
    <row r="20" customFormat="false" ht="14.25" hidden="false" customHeight="false" outlineLevel="0" collapsed="false">
      <c r="B2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4.48828125" defaultRowHeight="15" zeroHeight="false" outlineLevelRow="0" outlineLevelCol="0"/>
  <cols>
    <col collapsed="false" customWidth="true" hidden="false" outlineLevel="0" max="3" min="1" style="0" width="8.66"/>
    <col collapsed="false" customWidth="true" hidden="false" outlineLevel="0" max="4" min="4" style="0" width="11.55"/>
    <col collapsed="false" customWidth="true" hidden="false" outlineLevel="0" max="5" min="5" style="0" width="11"/>
    <col collapsed="false" customWidth="true" hidden="false" outlineLevel="0" max="26" min="6" style="0" width="8.66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59</v>
      </c>
    </row>
    <row r="2" customFormat="false" ht="14.25" hidden="false" customHeight="true" outlineLevel="0" collapsed="false">
      <c r="A2" s="1" t="n">
        <v>1</v>
      </c>
      <c r="B2" s="1" t="s">
        <v>60</v>
      </c>
      <c r="C2" s="1" t="n">
        <v>523.09</v>
      </c>
      <c r="D2" s="1" t="n">
        <v>553.83</v>
      </c>
      <c r="E2" s="1" t="n">
        <v>80</v>
      </c>
      <c r="F2" s="1" t="n">
        <v>80</v>
      </c>
    </row>
    <row r="3" customFormat="false" ht="14.25" hidden="false" customHeight="true" outlineLevel="0" collapsed="false">
      <c r="A3" s="1" t="n">
        <v>2</v>
      </c>
      <c r="B3" s="1" t="s">
        <v>61</v>
      </c>
      <c r="C3" s="2" t="n">
        <v>977.18</v>
      </c>
      <c r="D3" s="2" t="n">
        <v>232.83</v>
      </c>
      <c r="E3" s="2" t="n">
        <v>80</v>
      </c>
      <c r="F3" s="2" t="n">
        <v>80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1" activeCellId="0" sqref="E41"/>
    </sheetView>
  </sheetViews>
  <sheetFormatPr defaultColWidth="14.48828125" defaultRowHeight="15" zeroHeight="false" outlineLevelRow="0" outlineLevelCol="0"/>
  <cols>
    <col collapsed="false" customWidth="true" hidden="false" outlineLevel="0" max="26" min="1" style="0" width="8.66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true" outlineLevel="0" collapsed="false"/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4.48828125" defaultRowHeight="15" zeroHeight="false" outlineLevelRow="0" outlineLevelCol="0"/>
  <cols>
    <col collapsed="false" customWidth="true" hidden="false" outlineLevel="0" max="2" min="1" style="0" width="8.66"/>
    <col collapsed="false" customWidth="true" hidden="false" outlineLevel="0" max="3" min="3" style="0" width="12"/>
    <col collapsed="false" customWidth="true" hidden="false" outlineLevel="0" max="4" min="4" style="0" width="12.11"/>
    <col collapsed="false" customWidth="true" hidden="false" outlineLevel="0" max="26" min="5" style="0" width="8.66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/>
      <c r="H1" s="1"/>
    </row>
    <row r="2" customFormat="false" ht="14.25" hidden="false" customHeight="true" outlineLevel="0" collapsed="false">
      <c r="A2" s="1" t="n">
        <v>1</v>
      </c>
      <c r="B2" s="1" t="s">
        <v>62</v>
      </c>
      <c r="C2" s="1" t="n">
        <v>308.09</v>
      </c>
      <c r="D2" s="1" t="n">
        <v>52.79</v>
      </c>
      <c r="E2" s="1" t="n">
        <v>1042.46</v>
      </c>
      <c r="F2" s="1" t="n">
        <v>40</v>
      </c>
    </row>
    <row r="3" customFormat="false" ht="14.25" hidden="false" customHeight="true" outlineLevel="0" collapsed="false">
      <c r="A3" s="1" t="n">
        <v>2</v>
      </c>
      <c r="B3" s="1" t="s">
        <v>63</v>
      </c>
      <c r="C3" s="1" t="n">
        <v>308.09</v>
      </c>
      <c r="D3" s="1" t="n">
        <f aca="false">52.79+40</f>
        <v>92.79</v>
      </c>
      <c r="E3" s="1" t="n">
        <v>40</v>
      </c>
      <c r="F3" s="1" t="n">
        <v>680</v>
      </c>
    </row>
    <row r="4" customFormat="false" ht="14.25" hidden="false" customHeight="true" outlineLevel="0" collapsed="false">
      <c r="A4" s="1" t="n">
        <v>3</v>
      </c>
      <c r="B4" s="1" t="s">
        <v>64</v>
      </c>
      <c r="C4" s="1" t="n">
        <v>308.09</v>
      </c>
      <c r="D4" s="1" t="n">
        <f aca="false">680+92.79</f>
        <v>772.79</v>
      </c>
      <c r="E4" s="1" t="n">
        <v>1042.46</v>
      </c>
      <c r="F4" s="1" t="n">
        <v>40</v>
      </c>
    </row>
    <row r="5" customFormat="false" ht="14.25" hidden="false" customHeight="true" outlineLevel="0" collapsed="false">
      <c r="A5" s="1" t="n">
        <v>4</v>
      </c>
      <c r="B5" s="0" t="s">
        <v>65</v>
      </c>
      <c r="C5" s="0" t="n">
        <v>148.09</v>
      </c>
      <c r="D5" s="0" t="n">
        <v>412.83</v>
      </c>
      <c r="E5" s="0" t="n">
        <v>160</v>
      </c>
      <c r="F5" s="0" t="n">
        <v>40</v>
      </c>
    </row>
    <row r="6" customFormat="false" ht="14.25" hidden="false" customHeight="true" outlineLevel="0" collapsed="false">
      <c r="A6" s="0" t="n">
        <v>5</v>
      </c>
      <c r="B6" s="1" t="s">
        <v>66</v>
      </c>
      <c r="C6" s="0" t="n">
        <v>348.09</v>
      </c>
      <c r="D6" s="1" t="n">
        <v>412.83</v>
      </c>
      <c r="E6" s="0" t="n">
        <v>160</v>
      </c>
      <c r="F6" s="0" t="n">
        <v>40</v>
      </c>
    </row>
    <row r="7" customFormat="false" ht="14.25" hidden="false" customHeight="true" outlineLevel="0" collapsed="false">
      <c r="A7" s="0" t="n">
        <v>6</v>
      </c>
      <c r="B7" s="0" t="s">
        <v>67</v>
      </c>
      <c r="C7" s="0" t="n">
        <v>468.09</v>
      </c>
      <c r="D7" s="0" t="n">
        <v>92.83</v>
      </c>
      <c r="E7" s="1" t="n">
        <v>40</v>
      </c>
      <c r="F7" s="1" t="n">
        <v>680</v>
      </c>
    </row>
    <row r="8" customFormat="false" ht="14.25" hidden="false" customHeight="true" outlineLevel="0" collapsed="false">
      <c r="A8" s="0" t="n">
        <v>7</v>
      </c>
      <c r="B8" s="0" t="s">
        <v>68</v>
      </c>
      <c r="C8" s="1" t="n">
        <v>1310.55</v>
      </c>
      <c r="D8" s="1" t="n">
        <f aca="false">52.79+40</f>
        <v>92.79</v>
      </c>
      <c r="E8" s="1" t="n">
        <v>40</v>
      </c>
      <c r="F8" s="1" t="n">
        <v>680</v>
      </c>
    </row>
    <row r="9" customFormat="false" ht="14.25" hidden="false" customHeight="true" outlineLevel="0" collapsed="false">
      <c r="A9" s="0" t="n">
        <v>8</v>
      </c>
      <c r="B9" s="0" t="s">
        <v>69</v>
      </c>
      <c r="C9" s="1" t="n">
        <v>743.92</v>
      </c>
      <c r="D9" s="1" t="n">
        <v>92.83</v>
      </c>
      <c r="E9" s="1" t="n">
        <v>20</v>
      </c>
      <c r="F9" s="1" t="n">
        <v>330</v>
      </c>
    </row>
    <row r="10" customFormat="false" ht="14.25" hidden="false" customHeight="true" outlineLevel="0" collapsed="false">
      <c r="A10" s="0" t="n">
        <v>9</v>
      </c>
      <c r="B10" s="0" t="s">
        <v>70</v>
      </c>
      <c r="C10" s="1" t="n">
        <v>943.92</v>
      </c>
      <c r="D10" s="1" t="n">
        <v>92.83</v>
      </c>
      <c r="E10" s="1" t="n">
        <v>20</v>
      </c>
      <c r="F10" s="1" t="n">
        <v>330</v>
      </c>
    </row>
    <row r="11" customFormat="false" ht="14.25" hidden="false" customHeight="true" outlineLevel="0" collapsed="false">
      <c r="A11" s="0" t="n">
        <v>10</v>
      </c>
      <c r="B11" s="0" t="s">
        <v>71</v>
      </c>
      <c r="C11" s="1" t="n">
        <v>743.92</v>
      </c>
      <c r="D11" s="1" t="n">
        <v>442.83</v>
      </c>
      <c r="E11" s="1" t="n">
        <v>20</v>
      </c>
      <c r="F11" s="1" t="n">
        <v>330</v>
      </c>
    </row>
    <row r="12" customFormat="false" ht="14.25" hidden="false" customHeight="true" outlineLevel="0" collapsed="false">
      <c r="A12" s="0" t="n">
        <v>11</v>
      </c>
      <c r="B12" s="0" t="s">
        <v>72</v>
      </c>
      <c r="C12" s="1" t="n">
        <v>943.92</v>
      </c>
      <c r="D12" s="1" t="n">
        <v>442.83</v>
      </c>
      <c r="E12" s="1" t="n">
        <v>20</v>
      </c>
      <c r="F12" s="1" t="n">
        <v>330</v>
      </c>
    </row>
    <row r="13" customFormat="false" ht="14.25" hidden="false" customHeight="true" outlineLevel="0" collapsed="false">
      <c r="A13" s="0" t="n">
        <v>12</v>
      </c>
      <c r="B13" s="0" t="s">
        <v>73</v>
      </c>
      <c r="C13" s="1" t="n">
        <v>1197.83</v>
      </c>
      <c r="D13" s="1" t="n">
        <v>92.83</v>
      </c>
      <c r="E13" s="1" t="n">
        <v>20</v>
      </c>
      <c r="F13" s="1" t="n">
        <v>330</v>
      </c>
    </row>
    <row r="14" customFormat="false" ht="14.25" hidden="false" customHeight="true" outlineLevel="0" collapsed="false">
      <c r="A14" s="0" t="n">
        <v>13</v>
      </c>
      <c r="B14" s="0" t="s">
        <v>74</v>
      </c>
      <c r="C14" s="1" t="n">
        <v>1197.83</v>
      </c>
      <c r="D14" s="1" t="n">
        <v>442.83</v>
      </c>
      <c r="E14" s="1" t="n">
        <v>20</v>
      </c>
      <c r="F14" s="1" t="n">
        <v>330</v>
      </c>
    </row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2" activeCellId="0" sqref="R12"/>
    </sheetView>
  </sheetViews>
  <sheetFormatPr defaultColWidth="14.48828125" defaultRowHeight="15" zeroHeight="false" outlineLevelRow="0" outlineLevelCol="0"/>
  <cols>
    <col collapsed="false" customWidth="true" hidden="false" outlineLevel="0" max="26" min="1" style="0" width="8.66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</row>
    <row r="2" customFormat="false" ht="14.25" hidden="false" customHeight="true" outlineLevel="0" collapsed="false">
      <c r="A2" s="0" t="n">
        <v>1</v>
      </c>
      <c r="B2" s="0" t="s">
        <v>75</v>
      </c>
      <c r="C2" s="0" t="n">
        <v>358.09</v>
      </c>
      <c r="D2" s="0" t="n">
        <v>92.83</v>
      </c>
      <c r="E2" s="0" t="n">
        <v>100</v>
      </c>
      <c r="F2" s="0" t="n">
        <v>40</v>
      </c>
    </row>
    <row r="3" customFormat="false" ht="14.25" hidden="false" customHeight="true" outlineLevel="0" collapsed="false">
      <c r="A3" s="0" t="n">
        <v>2</v>
      </c>
      <c r="B3" s="0" t="s">
        <v>76</v>
      </c>
      <c r="C3" s="0" t="n">
        <v>358.09</v>
      </c>
      <c r="D3" s="0" t="n">
        <v>732.83</v>
      </c>
      <c r="E3" s="0" t="n">
        <v>100</v>
      </c>
      <c r="F3" s="0" t="n">
        <v>40</v>
      </c>
    </row>
    <row r="4" customFormat="false" ht="14.25" hidden="false" customHeight="true" outlineLevel="0" collapsed="false">
      <c r="A4" s="0" t="n">
        <v>3</v>
      </c>
      <c r="B4" s="0" t="s">
        <v>77</v>
      </c>
      <c r="C4" s="0" t="n">
        <v>1350.65</v>
      </c>
      <c r="D4" s="0" t="n">
        <v>302.83</v>
      </c>
      <c r="E4" s="0" t="n">
        <v>40</v>
      </c>
      <c r="F4" s="0" t="n">
        <v>100</v>
      </c>
    </row>
    <row r="5" customFormat="false" ht="14.25" hidden="false" customHeight="true" outlineLevel="0" collapsed="false">
      <c r="A5" s="0" t="n">
        <v>4</v>
      </c>
      <c r="B5" s="0" t="s">
        <v>78</v>
      </c>
      <c r="C5" s="0" t="n">
        <v>1350.65</v>
      </c>
      <c r="D5" s="0" t="n">
        <v>462.83</v>
      </c>
      <c r="E5" s="0" t="n">
        <v>40</v>
      </c>
      <c r="F5" s="0" t="n">
        <v>100</v>
      </c>
    </row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C8" activeCellId="0" sqref="C8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</row>
    <row r="2" customFormat="false" ht="14.25" hidden="false" customHeight="false" outlineLevel="0" collapsed="false">
      <c r="A2" s="0" t="n">
        <v>1</v>
      </c>
      <c r="B2" s="0" t="s">
        <v>79</v>
      </c>
      <c r="C2" s="1" t="n">
        <v>508.09</v>
      </c>
      <c r="D2" s="0" t="n">
        <v>732.83</v>
      </c>
      <c r="E2" s="0" t="n">
        <v>40</v>
      </c>
      <c r="F2" s="0" t="n">
        <v>40</v>
      </c>
    </row>
    <row r="3" customFormat="false" ht="14.25" hidden="false" customHeight="false" outlineLevel="0" collapsed="false">
      <c r="A3" s="0" t="n">
        <v>2</v>
      </c>
      <c r="B3" s="0" t="s">
        <v>80</v>
      </c>
      <c r="C3" s="1" t="n">
        <v>508.09</v>
      </c>
      <c r="D3" s="0" t="n">
        <v>93.83</v>
      </c>
      <c r="E3" s="0" t="n">
        <v>40</v>
      </c>
      <c r="F3" s="0" t="n">
        <v>40</v>
      </c>
    </row>
    <row r="4" customFormat="false" ht="14.25" hidden="false" customHeight="false" outlineLevel="0" collapsed="false">
      <c r="A4" s="0" t="n">
        <v>3</v>
      </c>
      <c r="B4" s="0" t="s">
        <v>81</v>
      </c>
      <c r="C4" s="0" t="n">
        <v>548.19</v>
      </c>
      <c r="D4" s="0" t="n">
        <v>102.83</v>
      </c>
      <c r="E4" s="0" t="n">
        <v>180</v>
      </c>
      <c r="F4" s="0" t="n">
        <v>20</v>
      </c>
    </row>
    <row r="5" customFormat="false" ht="14.25" hidden="false" customHeight="false" outlineLevel="0" collapsed="false">
      <c r="A5" s="0" t="n">
        <v>4</v>
      </c>
      <c r="B5" s="0" t="s">
        <v>82</v>
      </c>
      <c r="C5" s="1" t="n">
        <v>508.09</v>
      </c>
      <c r="D5" s="0" t="n">
        <v>412.83</v>
      </c>
      <c r="E5" s="0" t="n">
        <v>40</v>
      </c>
      <c r="F5" s="0" t="n">
        <v>40</v>
      </c>
    </row>
    <row r="6" customFormat="false" ht="14.25" hidden="false" customHeight="false" outlineLevel="0" collapsed="false">
      <c r="A6" s="0" t="n">
        <v>5</v>
      </c>
      <c r="B6" s="0" t="s">
        <v>83</v>
      </c>
      <c r="C6" s="0" t="n">
        <v>548.19</v>
      </c>
      <c r="D6" s="0" t="n">
        <v>742.83</v>
      </c>
      <c r="E6" s="0" t="n">
        <v>180</v>
      </c>
      <c r="F6" s="0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4" activeCellId="0" sqref="P24"/>
    </sheetView>
  </sheetViews>
  <sheetFormatPr defaultColWidth="8.54296875" defaultRowHeight="14.25" zeroHeight="false" outlineLevelRow="0" outlineLevelCol="0"/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0" t="n">
        <v>1</v>
      </c>
      <c r="B2" s="1" t="s">
        <v>84</v>
      </c>
      <c r="C2" s="0" t="n">
        <v>853.92</v>
      </c>
      <c r="D2" s="0" t="n">
        <v>432.83</v>
      </c>
      <c r="E2" s="0" t="n">
        <v>23.23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3" activeCellId="0" sqref="Q23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</row>
    <row r="2" customFormat="false" ht="14.25" hidden="false" customHeight="false" outlineLevel="0" collapsed="false">
      <c r="A2" s="0" t="n">
        <v>1</v>
      </c>
      <c r="B2" s="0" t="s">
        <v>85</v>
      </c>
      <c r="C2" s="0" t="n">
        <v>748.92</v>
      </c>
      <c r="D2" s="0" t="n">
        <v>392.83</v>
      </c>
      <c r="E2" s="0" t="n">
        <v>10</v>
      </c>
      <c r="F2" s="0" t="n">
        <v>30</v>
      </c>
    </row>
    <row r="3" customFormat="false" ht="14.25" hidden="false" customHeight="false" outlineLevel="0" collapsed="false">
      <c r="A3" s="0" t="n">
        <v>2</v>
      </c>
      <c r="B3" s="0" t="s">
        <v>86</v>
      </c>
      <c r="C3" s="0" t="n">
        <v>748.92</v>
      </c>
      <c r="D3" s="0" t="n">
        <v>442.83</v>
      </c>
      <c r="E3" s="0" t="n">
        <v>10</v>
      </c>
      <c r="F3" s="0" t="n">
        <v>30</v>
      </c>
    </row>
    <row r="4" customFormat="false" ht="14.25" hidden="false" customHeight="false" outlineLevel="0" collapsed="false">
      <c r="A4" s="0" t="n">
        <v>3</v>
      </c>
      <c r="B4" s="0" t="s">
        <v>87</v>
      </c>
      <c r="C4" s="0" t="n">
        <v>948.92</v>
      </c>
      <c r="D4" s="0" t="n">
        <v>392.83</v>
      </c>
      <c r="E4" s="0" t="n">
        <v>10</v>
      </c>
      <c r="F4" s="0" t="n">
        <v>30</v>
      </c>
    </row>
    <row r="5" customFormat="false" ht="14.25" hidden="false" customHeight="false" outlineLevel="0" collapsed="false">
      <c r="A5" s="0" t="n">
        <v>4</v>
      </c>
      <c r="B5" s="0" t="s">
        <v>88</v>
      </c>
      <c r="C5" s="0" t="n">
        <v>948.92</v>
      </c>
      <c r="D5" s="0" t="n">
        <v>442.83</v>
      </c>
      <c r="E5" s="0" t="n">
        <v>10</v>
      </c>
      <c r="F5" s="0" t="n">
        <v>30</v>
      </c>
    </row>
    <row r="6" customFormat="false" ht="14.25" hidden="false" customHeight="false" outlineLevel="0" collapsed="false">
      <c r="A6" s="0" t="n">
        <v>5</v>
      </c>
      <c r="B6" s="0" t="s">
        <v>89</v>
      </c>
      <c r="C6" s="0" t="n">
        <v>1202.83</v>
      </c>
      <c r="D6" s="0" t="n">
        <v>392.83</v>
      </c>
      <c r="E6" s="0" t="n">
        <v>10</v>
      </c>
      <c r="F6" s="0" t="n">
        <v>30</v>
      </c>
    </row>
    <row r="7" customFormat="false" ht="14.25" hidden="false" customHeight="false" outlineLevel="0" collapsed="false">
      <c r="A7" s="0" t="n">
        <v>6</v>
      </c>
      <c r="B7" s="0" t="s">
        <v>90</v>
      </c>
      <c r="C7" s="0" t="n">
        <v>1202.83</v>
      </c>
      <c r="D7" s="0" t="n">
        <v>442.83</v>
      </c>
      <c r="E7" s="0" t="n">
        <v>10</v>
      </c>
      <c r="F7" s="0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0" t="n">
        <v>1</v>
      </c>
      <c r="B2" s="0" t="s">
        <v>91</v>
      </c>
      <c r="C2" s="0" t="n">
        <v>815.33</v>
      </c>
      <c r="D2" s="0" t="n">
        <v>283.48</v>
      </c>
      <c r="E2" s="0" t="n">
        <v>40</v>
      </c>
    </row>
    <row r="3" customFormat="false" ht="14.25" hidden="false" customHeight="false" outlineLevel="0" collapsed="false">
      <c r="A3" s="0" t="n">
        <v>2</v>
      </c>
      <c r="B3" s="0" t="s">
        <v>92</v>
      </c>
      <c r="C3" s="0" t="n">
        <v>815.33</v>
      </c>
      <c r="D3" s="0" t="n">
        <v>583.18</v>
      </c>
      <c r="E3" s="0" t="n">
        <v>40</v>
      </c>
    </row>
    <row r="4" customFormat="false" ht="14.25" hidden="false" customHeight="false" outlineLevel="0" collapsed="false">
      <c r="A4" s="0" t="n">
        <v>3</v>
      </c>
      <c r="B4" s="0" t="s">
        <v>93</v>
      </c>
      <c r="C4" s="0" t="n">
        <v>1071.9</v>
      </c>
      <c r="D4" s="0" t="n">
        <v>283.48</v>
      </c>
      <c r="E4" s="0" t="n">
        <v>40</v>
      </c>
    </row>
    <row r="5" customFormat="false" ht="14.25" hidden="false" customHeight="false" outlineLevel="0" collapsed="false">
      <c r="A5" s="0" t="n">
        <v>4</v>
      </c>
      <c r="B5" s="0" t="s">
        <v>94</v>
      </c>
      <c r="C5" s="0" t="n">
        <v>1071.9</v>
      </c>
      <c r="D5" s="0" t="n">
        <v>583.18</v>
      </c>
      <c r="E5" s="0" t="n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3" activeCellId="0" sqref="J33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33</v>
      </c>
      <c r="D1" s="0" t="s">
        <v>34</v>
      </c>
    </row>
    <row r="2" customFormat="false" ht="14.25" hidden="false" customHeight="false" outlineLevel="0" collapsed="false">
      <c r="A2" s="0" t="n">
        <v>1</v>
      </c>
      <c r="B2" s="0" t="s">
        <v>95</v>
      </c>
      <c r="C2" s="0" t="n">
        <v>631.39014</v>
      </c>
      <c r="D2" s="0" t="n">
        <v>441.03123</v>
      </c>
      <c r="H2" s="3"/>
    </row>
    <row r="3" customFormat="false" ht="14.25" hidden="false" customHeight="false" outlineLevel="0" collapsed="false">
      <c r="A3" s="0" t="n">
        <v>2</v>
      </c>
      <c r="B3" s="0" t="s">
        <v>96</v>
      </c>
      <c r="C3" s="0" t="n">
        <v>631.39014</v>
      </c>
      <c r="D3" s="0" t="n">
        <v>430.6122</v>
      </c>
    </row>
    <row r="4" customFormat="false" ht="14.25" hidden="false" customHeight="false" outlineLevel="0" collapsed="false">
      <c r="A4" s="0" t="n">
        <v>3</v>
      </c>
      <c r="B4" s="0" t="s">
        <v>97</v>
      </c>
      <c r="C4" s="0" t="n">
        <v>847.398024</v>
      </c>
      <c r="D4" s="0" t="n">
        <v>441.03123</v>
      </c>
    </row>
    <row r="5" customFormat="false" ht="14.25" hidden="false" customHeight="false" outlineLevel="0" collapsed="false">
      <c r="A5" s="0" t="n">
        <v>4</v>
      </c>
      <c r="B5" s="0" t="s">
        <v>98</v>
      </c>
      <c r="C5" s="0" t="n">
        <v>847.398024</v>
      </c>
      <c r="D5" s="0" t="n">
        <v>430.6122</v>
      </c>
    </row>
    <row r="6" customFormat="false" ht="14.25" hidden="false" customHeight="false" outlineLevel="0" collapsed="false">
      <c r="A6" s="0" t="n">
        <v>5</v>
      </c>
      <c r="B6" s="0" t="s">
        <v>99</v>
      </c>
      <c r="C6" s="0" t="n">
        <v>1074.625218</v>
      </c>
      <c r="D6" s="0" t="n">
        <v>441.03123</v>
      </c>
    </row>
    <row r="7" customFormat="false" ht="14.25" hidden="false" customHeight="false" outlineLevel="0" collapsed="false">
      <c r="A7" s="0" t="n">
        <v>5</v>
      </c>
      <c r="B7" s="0" t="s">
        <v>100</v>
      </c>
      <c r="C7" s="0" t="n">
        <v>1074.625218</v>
      </c>
      <c r="D7" s="0" t="n">
        <v>430.6122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3" activeCellId="0" sqref="Q33"/>
    </sheetView>
  </sheetViews>
  <sheetFormatPr defaultColWidth="8.54296875" defaultRowHeight="14.25" zeroHeight="false" outlineLevelRow="0" outlineLevelCol="0"/>
  <cols>
    <col collapsed="false" customWidth="true" hidden="false" outlineLevel="0" max="3" min="3" style="0" width="11.22"/>
    <col collapsed="false" customWidth="true" hidden="false" outlineLevel="0" max="4" min="4" style="0" width="11.78"/>
    <col collapsed="false" customWidth="true" hidden="false" outlineLevel="0" max="5" min="5" style="0" width="12.8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101</v>
      </c>
      <c r="D1" s="1" t="s">
        <v>102</v>
      </c>
      <c r="E1" s="1" t="s">
        <v>103</v>
      </c>
      <c r="F1" s="1" t="s">
        <v>104</v>
      </c>
    </row>
    <row r="2" customFormat="false" ht="14.25" hidden="false" customHeight="false" outlineLevel="0" collapsed="false">
      <c r="A2" s="0" t="n">
        <v>1</v>
      </c>
      <c r="B2" s="0" t="s">
        <v>105</v>
      </c>
      <c r="C2" s="0" t="n">
        <v>909.4</v>
      </c>
      <c r="D2" s="0" t="n">
        <v>412.83</v>
      </c>
      <c r="E2" s="0" t="n">
        <v>1390.54</v>
      </c>
      <c r="F2" s="0" t="n">
        <v>412.83</v>
      </c>
    </row>
    <row r="3" customFormat="false" ht="14.25" hidden="false" customHeight="false" outlineLevel="0" collapsed="false">
      <c r="A3" s="0" t="n">
        <v>2</v>
      </c>
      <c r="B3" s="0" t="s">
        <v>106</v>
      </c>
      <c r="C3" s="0" t="n">
        <v>909.4</v>
      </c>
      <c r="D3" s="0" t="n">
        <v>452.83</v>
      </c>
      <c r="E3" s="0" t="n">
        <v>1390.54</v>
      </c>
      <c r="F3" s="0" t="n">
        <v>452.83</v>
      </c>
    </row>
    <row r="4" customFormat="false" ht="14.25" hidden="false" customHeight="false" outlineLevel="0" collapsed="false">
      <c r="A4" s="0" t="n">
        <v>3</v>
      </c>
      <c r="B4" s="0" t="s">
        <v>107</v>
      </c>
      <c r="C4" s="0" t="n">
        <v>917.4</v>
      </c>
      <c r="D4" s="0" t="n">
        <v>412.83</v>
      </c>
      <c r="E4" s="0" t="n">
        <v>825.69</v>
      </c>
      <c r="F4" s="0" t="n">
        <v>321.11</v>
      </c>
    </row>
    <row r="5" customFormat="false" ht="14.25" hidden="false" customHeight="false" outlineLevel="0" collapsed="false">
      <c r="A5" s="0" t="n">
        <v>4</v>
      </c>
      <c r="B5" s="0" t="s">
        <v>108</v>
      </c>
      <c r="C5" s="0" t="n">
        <v>973.97</v>
      </c>
      <c r="D5" s="0" t="n">
        <v>412.83</v>
      </c>
      <c r="E5" s="0" t="n">
        <v>853.97</v>
      </c>
      <c r="F5" s="0" t="n">
        <v>292.83</v>
      </c>
    </row>
    <row r="6" customFormat="false" ht="14.25" hidden="false" customHeight="false" outlineLevel="0" collapsed="false">
      <c r="A6" s="0" t="n">
        <v>5</v>
      </c>
      <c r="B6" s="0" t="s">
        <v>109</v>
      </c>
      <c r="C6" s="0" t="n">
        <v>1173.97</v>
      </c>
      <c r="D6" s="0" t="n">
        <v>412.83</v>
      </c>
      <c r="E6" s="0" t="n">
        <v>1082.26</v>
      </c>
      <c r="F6" s="0" t="n">
        <v>321.11</v>
      </c>
    </row>
    <row r="7" customFormat="false" ht="14.25" hidden="false" customHeight="false" outlineLevel="0" collapsed="false">
      <c r="A7" s="0" t="n">
        <v>6</v>
      </c>
      <c r="B7" s="0" t="s">
        <v>110</v>
      </c>
      <c r="C7" s="0" t="n">
        <v>1230.54</v>
      </c>
      <c r="D7" s="0" t="n">
        <v>412.83</v>
      </c>
      <c r="E7" s="0" t="n">
        <v>1110.54</v>
      </c>
      <c r="F7" s="0" t="n">
        <v>292.83</v>
      </c>
    </row>
    <row r="8" customFormat="false" ht="14.25" hidden="false" customHeight="false" outlineLevel="0" collapsed="false">
      <c r="A8" s="0" t="n">
        <v>7</v>
      </c>
      <c r="B8" s="0" t="s">
        <v>111</v>
      </c>
      <c r="C8" s="0" t="n">
        <v>917.4</v>
      </c>
      <c r="D8" s="0" t="n">
        <v>452.83</v>
      </c>
      <c r="E8" s="0" t="n">
        <v>825.69</v>
      </c>
      <c r="F8" s="0" t="n">
        <v>544.55</v>
      </c>
    </row>
    <row r="9" customFormat="false" ht="14.25" hidden="false" customHeight="false" outlineLevel="0" collapsed="false">
      <c r="A9" s="0" t="n">
        <v>8</v>
      </c>
      <c r="B9" s="0" t="s">
        <v>112</v>
      </c>
      <c r="C9" s="0" t="n">
        <v>973.97</v>
      </c>
      <c r="D9" s="0" t="n">
        <v>452.83</v>
      </c>
      <c r="E9" s="0" t="n">
        <v>853.97</v>
      </c>
      <c r="F9" s="0" t="n">
        <v>572.83</v>
      </c>
    </row>
    <row r="10" customFormat="false" ht="14.25" hidden="false" customHeight="false" outlineLevel="0" collapsed="false">
      <c r="A10" s="0" t="n">
        <v>9</v>
      </c>
      <c r="B10" s="0" t="s">
        <v>113</v>
      </c>
      <c r="C10" s="0" t="n">
        <v>1173.97</v>
      </c>
      <c r="D10" s="0" t="n">
        <v>452.83</v>
      </c>
      <c r="E10" s="0" t="n">
        <v>1082.26</v>
      </c>
      <c r="F10" s="0" t="n">
        <v>544.55</v>
      </c>
    </row>
    <row r="11" customFormat="false" ht="14.25" hidden="false" customHeight="false" outlineLevel="0" collapsed="false">
      <c r="A11" s="0" t="n">
        <v>10</v>
      </c>
      <c r="B11" s="0" t="s">
        <v>114</v>
      </c>
      <c r="C11" s="0" t="n">
        <v>1230.54</v>
      </c>
      <c r="D11" s="0" t="n">
        <v>452.83</v>
      </c>
      <c r="E11" s="0" t="n">
        <v>1110.54</v>
      </c>
      <c r="F11" s="0" t="n">
        <v>572.83</v>
      </c>
    </row>
    <row r="12" customFormat="false" ht="14.25" hidden="false" customHeight="false" outlineLevel="0" collapsed="false">
      <c r="A12" s="0" t="n">
        <v>11</v>
      </c>
      <c r="B12" s="0" t="s">
        <v>115</v>
      </c>
      <c r="C12" s="0" t="n">
        <v>909.4</v>
      </c>
      <c r="D12" s="0" t="n">
        <v>412.83</v>
      </c>
      <c r="E12" s="0" t="n">
        <v>909.4</v>
      </c>
      <c r="F12" s="0" t="n">
        <v>452.83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29" activeCellId="0" sqref="U29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33</v>
      </c>
      <c r="D1" s="0" t="s">
        <v>34</v>
      </c>
    </row>
    <row r="2" customFormat="false" ht="14.25" hidden="false" customHeight="false" outlineLevel="0" collapsed="false">
      <c r="A2" s="0" t="n">
        <v>1</v>
      </c>
      <c r="B2" s="0" t="s">
        <v>116</v>
      </c>
      <c r="C2" s="0" t="n">
        <v>622.17153</v>
      </c>
      <c r="D2" s="0" t="n">
        <v>642.612528</v>
      </c>
    </row>
    <row r="3" customFormat="false" ht="14.25" hidden="false" customHeight="false" outlineLevel="0" collapsed="false">
      <c r="A3" s="0" t="n">
        <v>2</v>
      </c>
      <c r="B3" s="0" t="s">
        <v>117</v>
      </c>
      <c r="C3" s="0" t="n">
        <v>632.19042</v>
      </c>
      <c r="D3" s="0" t="n">
        <v>642.612528</v>
      </c>
    </row>
    <row r="4" customFormat="false" ht="14.25" hidden="false" customHeight="false" outlineLevel="0" collapsed="false">
      <c r="A4" s="0" t="n">
        <v>3</v>
      </c>
      <c r="B4" s="0" t="s">
        <v>118</v>
      </c>
      <c r="C4" s="0" t="n">
        <v>622.17153</v>
      </c>
      <c r="D4" s="0" t="n">
        <v>221.8182246</v>
      </c>
    </row>
    <row r="5" customFormat="false" ht="14.25" hidden="false" customHeight="false" outlineLevel="0" collapsed="false">
      <c r="A5" s="0" t="n">
        <v>4</v>
      </c>
      <c r="B5" s="0" t="s">
        <v>119</v>
      </c>
      <c r="C5" s="0" t="n">
        <v>632.19042</v>
      </c>
      <c r="D5" s="0" t="n">
        <v>221.8182246</v>
      </c>
    </row>
    <row r="6" customFormat="false" ht="14.25" hidden="false" customHeight="false" outlineLevel="0" collapsed="false">
      <c r="A6" s="0" t="n">
        <v>5</v>
      </c>
      <c r="B6" s="0" t="s">
        <v>120</v>
      </c>
      <c r="C6" s="0" t="n">
        <v>847.398024</v>
      </c>
      <c r="D6" s="0" t="n">
        <v>642.612528</v>
      </c>
    </row>
    <row r="7" customFormat="false" ht="14.25" hidden="false" customHeight="false" outlineLevel="0" collapsed="false">
      <c r="A7" s="0" t="n">
        <v>6</v>
      </c>
      <c r="B7" s="0" t="s">
        <v>121</v>
      </c>
      <c r="C7" s="0" t="n">
        <v>847.398024</v>
      </c>
      <c r="D7" s="0" t="n">
        <v>221.8182246</v>
      </c>
    </row>
    <row r="8" customFormat="false" ht="14.25" hidden="false" customHeight="false" outlineLevel="0" collapsed="false">
      <c r="A8" s="0" t="n">
        <v>7</v>
      </c>
      <c r="B8" s="0" t="s">
        <v>122</v>
      </c>
      <c r="C8" s="0" t="n">
        <v>857.416914</v>
      </c>
      <c r="D8" s="0" t="n">
        <v>221.8182246</v>
      </c>
    </row>
    <row r="9" customFormat="false" ht="14.25" hidden="false" customHeight="false" outlineLevel="0" collapsed="false">
      <c r="A9" s="0" t="n">
        <v>8</v>
      </c>
      <c r="B9" s="0" t="s">
        <v>123</v>
      </c>
      <c r="C9" s="0" t="n">
        <v>857.416914</v>
      </c>
      <c r="D9" s="0" t="n">
        <v>642.612528</v>
      </c>
    </row>
    <row r="10" customFormat="false" ht="14.25" hidden="false" customHeight="false" outlineLevel="0" collapsed="false">
      <c r="A10" s="0" t="n">
        <v>9</v>
      </c>
      <c r="B10" s="0" t="s">
        <v>124</v>
      </c>
      <c r="C10" s="0" t="n">
        <v>1074.625218</v>
      </c>
      <c r="D10" s="0" t="n">
        <v>221.8182246</v>
      </c>
    </row>
    <row r="11" customFormat="false" ht="14.25" hidden="false" customHeight="false" outlineLevel="0" collapsed="false">
      <c r="A11" s="0" t="n">
        <v>10</v>
      </c>
      <c r="B11" s="0" t="s">
        <v>125</v>
      </c>
      <c r="C11" s="0" t="n">
        <v>1074.625218</v>
      </c>
      <c r="D11" s="0" t="n">
        <v>642.612528</v>
      </c>
    </row>
    <row r="12" customFormat="false" ht="14.25" hidden="false" customHeight="false" outlineLevel="0" collapsed="false">
      <c r="A12" s="0" t="n">
        <v>11</v>
      </c>
      <c r="B12" s="0" t="s">
        <v>126</v>
      </c>
      <c r="C12" s="0" t="n">
        <v>1083.443688</v>
      </c>
      <c r="D12" s="0" t="n">
        <v>642.612528</v>
      </c>
    </row>
    <row r="13" customFormat="false" ht="14.25" hidden="false" customHeight="false" outlineLevel="0" collapsed="false">
      <c r="A13" s="0" t="n">
        <v>12</v>
      </c>
      <c r="B13" s="0" t="s">
        <v>127</v>
      </c>
      <c r="C13" s="0" t="n">
        <v>1083.443688</v>
      </c>
      <c r="D13" s="0" t="n">
        <v>221.8182246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33</v>
      </c>
      <c r="D1" s="1" t="s">
        <v>34</v>
      </c>
    </row>
    <row r="2" customFormat="false" ht="14.25" hidden="false" customHeight="false" outlineLevel="0" collapsed="false">
      <c r="A2" s="1" t="n">
        <v>1</v>
      </c>
      <c r="B2" s="1" t="s">
        <v>128</v>
      </c>
      <c r="C2" s="1" t="n">
        <v>10</v>
      </c>
      <c r="D2" s="0" t="n">
        <f aca="false">380</f>
        <v>380</v>
      </c>
    </row>
    <row r="3" customFormat="false" ht="14.25" hidden="false" customHeight="false" outlineLevel="0" collapsed="false">
      <c r="A3" s="1" t="n">
        <v>2</v>
      </c>
      <c r="B3" s="1" t="s">
        <v>129</v>
      </c>
      <c r="C3" s="1" t="n">
        <f aca="false">C2+2</f>
        <v>12</v>
      </c>
      <c r="D3" s="1" t="n">
        <f aca="false">D2+2.55</f>
        <v>382.55</v>
      </c>
    </row>
    <row r="4" customFormat="false" ht="14.25" hidden="false" customHeight="false" outlineLevel="0" collapsed="false">
      <c r="A4" s="1" t="n">
        <v>3</v>
      </c>
      <c r="B4" s="1" t="s">
        <v>130</v>
      </c>
      <c r="C4" s="1" t="n">
        <f aca="false">C3+2</f>
        <v>14</v>
      </c>
      <c r="D4" s="1" t="n">
        <f aca="false">D3+5</f>
        <v>387.55</v>
      </c>
    </row>
    <row r="5" customFormat="false" ht="14.25" hidden="false" customHeight="false" outlineLevel="0" collapsed="false">
      <c r="A5" s="1" t="n">
        <v>4</v>
      </c>
      <c r="B5" s="1" t="s">
        <v>131</v>
      </c>
      <c r="C5" s="1" t="n">
        <f aca="false">C4+2</f>
        <v>16</v>
      </c>
      <c r="D5" s="1" t="n">
        <f aca="false">D4+5</f>
        <v>392.55</v>
      </c>
    </row>
    <row r="6" customFormat="false" ht="14.25" hidden="false" customHeight="false" outlineLevel="0" collapsed="false">
      <c r="A6" s="0" t="n">
        <v>5</v>
      </c>
      <c r="B6" s="1" t="s">
        <v>132</v>
      </c>
      <c r="C6" s="1" t="n">
        <f aca="false">C5+2</f>
        <v>18</v>
      </c>
      <c r="D6" s="1" t="n">
        <f aca="false">D5+5</f>
        <v>397.55</v>
      </c>
    </row>
    <row r="7" customFormat="false" ht="14.25" hidden="false" customHeight="false" outlineLevel="0" collapsed="false">
      <c r="A7" s="0" t="n">
        <v>6</v>
      </c>
      <c r="B7" s="1" t="s">
        <v>133</v>
      </c>
      <c r="C7" s="1" t="n">
        <f aca="false">C6+2</f>
        <v>20</v>
      </c>
      <c r="D7" s="1" t="n">
        <f aca="false">D6+5</f>
        <v>402.55</v>
      </c>
    </row>
    <row r="8" customFormat="false" ht="14.25" hidden="false" customHeight="false" outlineLevel="0" collapsed="false">
      <c r="A8" s="0" t="n">
        <v>7</v>
      </c>
      <c r="B8" s="1" t="s">
        <v>134</v>
      </c>
      <c r="C8" s="1" t="n">
        <f aca="false">C7+2</f>
        <v>22</v>
      </c>
      <c r="D8" s="1" t="n">
        <f aca="false">D7+5</f>
        <v>407.55</v>
      </c>
    </row>
    <row r="9" customFormat="false" ht="14.25" hidden="false" customHeight="false" outlineLevel="0" collapsed="false">
      <c r="A9" s="0" t="n">
        <v>8</v>
      </c>
      <c r="B9" s="1" t="s">
        <v>135</v>
      </c>
      <c r="C9" s="1" t="n">
        <f aca="false">C8+2</f>
        <v>24</v>
      </c>
      <c r="D9" s="1" t="n">
        <f aca="false">D8+5</f>
        <v>412.55</v>
      </c>
    </row>
    <row r="10" customFormat="false" ht="14.25" hidden="false" customHeight="false" outlineLevel="0" collapsed="false">
      <c r="A10" s="0" t="n">
        <v>9</v>
      </c>
      <c r="B10" s="1" t="s">
        <v>136</v>
      </c>
      <c r="C10" s="1" t="n">
        <f aca="false">C9+2</f>
        <v>26</v>
      </c>
      <c r="D10" s="1" t="n">
        <f aca="false">D9+5</f>
        <v>417.55</v>
      </c>
    </row>
    <row r="11" customFormat="false" ht="14.25" hidden="false" customHeight="false" outlineLevel="0" collapsed="false">
      <c r="A11" s="0" t="n">
        <v>10</v>
      </c>
      <c r="B11" s="1" t="s">
        <v>137</v>
      </c>
      <c r="C11" s="1" t="n">
        <f aca="false">C10+2</f>
        <v>28</v>
      </c>
      <c r="D11" s="1" t="n">
        <f aca="false">D10+5</f>
        <v>422.55</v>
      </c>
    </row>
    <row r="12" customFormat="false" ht="14.25" hidden="false" customHeight="false" outlineLevel="0" collapsed="false">
      <c r="A12" s="0" t="n">
        <v>11</v>
      </c>
      <c r="B12" s="1" t="s">
        <v>138</v>
      </c>
      <c r="C12" s="1" t="n">
        <f aca="false">C11+2</f>
        <v>30</v>
      </c>
      <c r="D12" s="1" t="n">
        <f aca="false">D11+5</f>
        <v>427.55</v>
      </c>
    </row>
    <row r="13" customFormat="false" ht="14.25" hidden="false" customHeight="false" outlineLevel="0" collapsed="false">
      <c r="A13" s="0" t="n">
        <v>12</v>
      </c>
      <c r="B13" s="1" t="s">
        <v>139</v>
      </c>
      <c r="C13" s="1" t="n">
        <f aca="false">C12+2</f>
        <v>32</v>
      </c>
      <c r="D13" s="1" t="n">
        <f aca="false">D12+5</f>
        <v>432.55</v>
      </c>
    </row>
    <row r="14" customFormat="false" ht="14.25" hidden="false" customHeight="false" outlineLevel="0" collapsed="false">
      <c r="A14" s="0" t="n">
        <v>13</v>
      </c>
      <c r="B14" s="1" t="s">
        <v>140</v>
      </c>
      <c r="C14" s="1" t="n">
        <f aca="false">C13+2</f>
        <v>34</v>
      </c>
      <c r="D14" s="1" t="n">
        <f aca="false">D13+5</f>
        <v>437.55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</row>
    <row r="2" customFormat="false" ht="14.25" hidden="false" customHeight="false" outlineLevel="0" collapsed="false">
      <c r="A2" s="0" t="n">
        <v>1</v>
      </c>
      <c r="B2" s="0" t="s">
        <v>141</v>
      </c>
      <c r="C2" s="0" t="n">
        <v>100</v>
      </c>
      <c r="D2" s="0" t="n">
        <v>250</v>
      </c>
      <c r="E2" s="0" t="n">
        <v>10</v>
      </c>
      <c r="F2" s="0" t="n">
        <v>5</v>
      </c>
    </row>
    <row r="3" customFormat="false" ht="14.25" hidden="false" customHeight="false" outlineLevel="0" collapsed="false">
      <c r="A3" s="0" t="n">
        <f aca="false">A2+1</f>
        <v>2</v>
      </c>
      <c r="B3" s="0" t="s">
        <v>142</v>
      </c>
      <c r="C3" s="0" t="n">
        <f aca="false">C2+2</f>
        <v>102</v>
      </c>
      <c r="D3" s="0" t="n">
        <f aca="false">D2+2</f>
        <v>252</v>
      </c>
      <c r="E3" s="0" t="n">
        <v>10</v>
      </c>
      <c r="F3" s="0" t="n">
        <v>5</v>
      </c>
    </row>
    <row r="4" customFormat="false" ht="14.25" hidden="false" customHeight="false" outlineLevel="0" collapsed="false">
      <c r="A4" s="0" t="n">
        <f aca="false">A3+1</f>
        <v>3</v>
      </c>
      <c r="B4" s="0" t="s">
        <v>143</v>
      </c>
      <c r="C4" s="0" t="n">
        <f aca="false">C3+2</f>
        <v>104</v>
      </c>
      <c r="D4" s="0" t="n">
        <f aca="false">D3+2</f>
        <v>254</v>
      </c>
      <c r="E4" s="0" t="n">
        <v>10</v>
      </c>
      <c r="F4" s="0" t="n">
        <v>5</v>
      </c>
    </row>
    <row r="5" customFormat="false" ht="14.25" hidden="false" customHeight="false" outlineLevel="0" collapsed="false">
      <c r="A5" s="0" t="n">
        <f aca="false">A4+1</f>
        <v>4</v>
      </c>
      <c r="B5" s="0" t="s">
        <v>144</v>
      </c>
      <c r="C5" s="0" t="n">
        <f aca="false">C4+2</f>
        <v>106</v>
      </c>
      <c r="D5" s="0" t="n">
        <f aca="false">D4+2</f>
        <v>256</v>
      </c>
      <c r="E5" s="0" t="n">
        <v>10</v>
      </c>
      <c r="F5" s="0" t="n">
        <v>5</v>
      </c>
    </row>
    <row r="6" customFormat="false" ht="14.25" hidden="false" customHeight="false" outlineLevel="0" collapsed="false">
      <c r="A6" s="0" t="n">
        <f aca="false">A5+1</f>
        <v>5</v>
      </c>
      <c r="B6" s="0" t="s">
        <v>145</v>
      </c>
      <c r="C6" s="0" t="n">
        <f aca="false">C5+2</f>
        <v>108</v>
      </c>
      <c r="D6" s="0" t="n">
        <f aca="false">D5+2</f>
        <v>258</v>
      </c>
      <c r="E6" s="0" t="n">
        <v>10</v>
      </c>
      <c r="F6" s="0" t="n">
        <v>5</v>
      </c>
    </row>
    <row r="7" customFormat="false" ht="14.25" hidden="false" customHeight="false" outlineLevel="0" collapsed="false">
      <c r="A7" s="0" t="n">
        <f aca="false">A6+1</f>
        <v>6</v>
      </c>
      <c r="B7" s="0" t="s">
        <v>146</v>
      </c>
      <c r="C7" s="0" t="n">
        <f aca="false">C6+2</f>
        <v>110</v>
      </c>
      <c r="D7" s="0" t="n">
        <f aca="false">D6+2</f>
        <v>260</v>
      </c>
      <c r="E7" s="0" t="n">
        <v>10</v>
      </c>
      <c r="F7" s="0" t="n">
        <v>5</v>
      </c>
    </row>
    <row r="8" customFormat="false" ht="14.25" hidden="false" customHeight="false" outlineLevel="0" collapsed="false">
      <c r="A8" s="0" t="n">
        <f aca="false">A7+1</f>
        <v>7</v>
      </c>
      <c r="B8" s="0" t="s">
        <v>147</v>
      </c>
      <c r="C8" s="0" t="n">
        <f aca="false">C7+2</f>
        <v>112</v>
      </c>
      <c r="D8" s="0" t="n">
        <f aca="false">D7+2</f>
        <v>262</v>
      </c>
      <c r="E8" s="0" t="n">
        <v>10</v>
      </c>
      <c r="F8" s="0" t="n">
        <v>5</v>
      </c>
    </row>
    <row r="9" customFormat="false" ht="14.25" hidden="false" customHeight="false" outlineLevel="0" collapsed="false">
      <c r="A9" s="0" t="n">
        <f aca="false">A8+1</f>
        <v>8</v>
      </c>
      <c r="B9" s="0" t="s">
        <v>148</v>
      </c>
      <c r="C9" s="0" t="n">
        <f aca="false">C8+2</f>
        <v>114</v>
      </c>
      <c r="D9" s="0" t="n">
        <f aca="false">D8+2</f>
        <v>264</v>
      </c>
      <c r="E9" s="0" t="n">
        <v>10</v>
      </c>
      <c r="F9" s="0" t="n">
        <v>5</v>
      </c>
    </row>
    <row r="10" customFormat="false" ht="14.25" hidden="false" customHeight="false" outlineLevel="0" collapsed="false">
      <c r="A10" s="0" t="n">
        <f aca="false">A9+1</f>
        <v>9</v>
      </c>
      <c r="B10" s="0" t="s">
        <v>149</v>
      </c>
      <c r="C10" s="0" t="n">
        <f aca="false">C9+2</f>
        <v>116</v>
      </c>
      <c r="D10" s="0" t="n">
        <f aca="false">D9+2</f>
        <v>266</v>
      </c>
      <c r="E10" s="0" t="n">
        <v>10</v>
      </c>
      <c r="F10" s="0" t="n">
        <v>5</v>
      </c>
    </row>
    <row r="11" customFormat="false" ht="14.25" hidden="false" customHeight="false" outlineLevel="0" collapsed="false">
      <c r="A11" s="0" t="n">
        <f aca="false">A10+1</f>
        <v>10</v>
      </c>
      <c r="B11" s="0" t="s">
        <v>150</v>
      </c>
      <c r="C11" s="0" t="n">
        <f aca="false">C10+2</f>
        <v>118</v>
      </c>
      <c r="D11" s="0" t="n">
        <f aca="false">D10+2</f>
        <v>268</v>
      </c>
      <c r="E11" s="0" t="n">
        <v>10</v>
      </c>
      <c r="F11" s="0" t="n">
        <v>5</v>
      </c>
    </row>
    <row r="12" customFormat="false" ht="14.25" hidden="false" customHeight="false" outlineLevel="0" collapsed="false">
      <c r="A12" s="0" t="n">
        <f aca="false">A11+1</f>
        <v>11</v>
      </c>
      <c r="B12" s="0" t="s">
        <v>151</v>
      </c>
      <c r="C12" s="0" t="n">
        <f aca="false">C11+2</f>
        <v>120</v>
      </c>
      <c r="D12" s="0" t="n">
        <f aca="false">D11+2</f>
        <v>270</v>
      </c>
      <c r="E12" s="0" t="n">
        <v>10</v>
      </c>
      <c r="F12" s="0" t="n">
        <v>5</v>
      </c>
    </row>
    <row r="13" customFormat="false" ht="14.25" hidden="false" customHeight="false" outlineLevel="0" collapsed="false">
      <c r="A13" s="0" t="n">
        <f aca="false">A12+1</f>
        <v>12</v>
      </c>
      <c r="B13" s="0" t="s">
        <v>152</v>
      </c>
      <c r="C13" s="0" t="n">
        <f aca="false">C12+2</f>
        <v>122</v>
      </c>
      <c r="D13" s="0" t="n">
        <f aca="false">D12+2</f>
        <v>272</v>
      </c>
      <c r="E13" s="0" t="n">
        <v>10</v>
      </c>
      <c r="F13" s="0" t="n">
        <v>5</v>
      </c>
    </row>
    <row r="14" customFormat="false" ht="14.25" hidden="false" customHeight="false" outlineLevel="0" collapsed="false">
      <c r="A14" s="0" t="n">
        <f aca="false">A13+1</f>
        <v>13</v>
      </c>
      <c r="B14" s="0" t="s">
        <v>153</v>
      </c>
      <c r="C14" s="0" t="n">
        <f aca="false">C13+2</f>
        <v>124</v>
      </c>
      <c r="D14" s="0" t="n">
        <f aca="false">D13+2</f>
        <v>274</v>
      </c>
      <c r="E14" s="0" t="n">
        <v>10</v>
      </c>
      <c r="F14" s="0" t="n">
        <v>5</v>
      </c>
    </row>
    <row r="15" customFormat="false" ht="14.25" hidden="false" customHeight="false" outlineLevel="0" collapsed="false">
      <c r="A15" s="0" t="n">
        <f aca="false">A14+1</f>
        <v>14</v>
      </c>
      <c r="B15" s="0" t="s">
        <v>154</v>
      </c>
      <c r="C15" s="0" t="n">
        <f aca="false">C14+2</f>
        <v>126</v>
      </c>
      <c r="D15" s="0" t="n">
        <f aca="false">D14+2</f>
        <v>276</v>
      </c>
      <c r="E15" s="0" t="n">
        <v>10</v>
      </c>
      <c r="F15" s="0" t="n">
        <v>5</v>
      </c>
    </row>
    <row r="16" customFormat="false" ht="14.25" hidden="false" customHeight="false" outlineLevel="0" collapsed="false">
      <c r="A16" s="0" t="n">
        <f aca="false">A15+1</f>
        <v>15</v>
      </c>
      <c r="B16" s="0" t="s">
        <v>155</v>
      </c>
      <c r="C16" s="0" t="n">
        <f aca="false">C15+2</f>
        <v>128</v>
      </c>
      <c r="D16" s="0" t="n">
        <f aca="false">D15+2</f>
        <v>278</v>
      </c>
      <c r="E16" s="0" t="n">
        <v>10</v>
      </c>
      <c r="F16" s="0" t="n">
        <v>5</v>
      </c>
    </row>
    <row r="17" customFormat="false" ht="14.25" hidden="false" customHeight="false" outlineLevel="0" collapsed="false">
      <c r="A17" s="0" t="n">
        <f aca="false">A16+1</f>
        <v>16</v>
      </c>
      <c r="B17" s="0" t="s">
        <v>156</v>
      </c>
      <c r="C17" s="0" t="n">
        <f aca="false">C16+2</f>
        <v>130</v>
      </c>
      <c r="D17" s="0" t="n">
        <f aca="false">D16+2</f>
        <v>280</v>
      </c>
      <c r="E17" s="0" t="n">
        <v>10</v>
      </c>
      <c r="F17" s="0" t="n">
        <v>5</v>
      </c>
    </row>
    <row r="18" customFormat="false" ht="14.25" hidden="false" customHeight="false" outlineLevel="0" collapsed="false">
      <c r="A18" s="0" t="n">
        <f aca="false">A17+1</f>
        <v>17</v>
      </c>
      <c r="B18" s="0" t="s">
        <v>157</v>
      </c>
      <c r="C18" s="0" t="n">
        <f aca="false">C17+2</f>
        <v>132</v>
      </c>
      <c r="D18" s="0" t="n">
        <f aca="false">D17+2</f>
        <v>282</v>
      </c>
      <c r="E18" s="0" t="n">
        <v>10</v>
      </c>
      <c r="F18" s="0" t="n">
        <v>5</v>
      </c>
    </row>
    <row r="19" customFormat="false" ht="14.25" hidden="false" customHeight="false" outlineLevel="0" collapsed="false">
      <c r="A19" s="0" t="n">
        <f aca="false">A18+1</f>
        <v>18</v>
      </c>
      <c r="B19" s="0" t="s">
        <v>158</v>
      </c>
      <c r="C19" s="0" t="n">
        <f aca="false">C18+2</f>
        <v>134</v>
      </c>
      <c r="D19" s="0" t="n">
        <f aca="false">D18+2</f>
        <v>284</v>
      </c>
      <c r="E19" s="0" t="n">
        <v>10</v>
      </c>
      <c r="F19" s="0" t="n">
        <v>5</v>
      </c>
    </row>
    <row r="20" customFormat="false" ht="14.25" hidden="false" customHeight="false" outlineLevel="0" collapsed="false">
      <c r="A20" s="0" t="n">
        <f aca="false">A19+1</f>
        <v>19</v>
      </c>
      <c r="B20" s="0" t="s">
        <v>159</v>
      </c>
      <c r="C20" s="0" t="n">
        <f aca="false">C19+2</f>
        <v>136</v>
      </c>
      <c r="D20" s="0" t="n">
        <f aca="false">D19+2</f>
        <v>286</v>
      </c>
      <c r="E20" s="0" t="n">
        <v>10</v>
      </c>
      <c r="F20" s="0" t="n">
        <v>5</v>
      </c>
    </row>
    <row r="21" customFormat="false" ht="14.25" hidden="false" customHeight="false" outlineLevel="0" collapsed="false">
      <c r="A21" s="0" t="n">
        <f aca="false">A20+1</f>
        <v>20</v>
      </c>
      <c r="B21" s="0" t="s">
        <v>160</v>
      </c>
      <c r="C21" s="0" t="n">
        <f aca="false">C20+2</f>
        <v>138</v>
      </c>
      <c r="D21" s="0" t="n">
        <f aca="false">D20+2</f>
        <v>288</v>
      </c>
      <c r="E21" s="0" t="n">
        <v>10</v>
      </c>
      <c r="F21" s="0" t="n">
        <v>5</v>
      </c>
    </row>
    <row r="22" customFormat="false" ht="14.25" hidden="false" customHeight="false" outlineLevel="0" collapsed="false">
      <c r="A22" s="0" t="n">
        <f aca="false">A21+1</f>
        <v>21</v>
      </c>
      <c r="B22" s="0" t="s">
        <v>161</v>
      </c>
      <c r="C22" s="0" t="n">
        <f aca="false">C21+2</f>
        <v>140</v>
      </c>
      <c r="D22" s="0" t="n">
        <f aca="false">D21+2</f>
        <v>290</v>
      </c>
      <c r="E22" s="0" t="n">
        <v>10</v>
      </c>
      <c r="F22" s="0" t="n">
        <v>5</v>
      </c>
    </row>
    <row r="23" customFormat="false" ht="14.25" hidden="false" customHeight="false" outlineLevel="0" collapsed="false">
      <c r="A23" s="0" t="n">
        <f aca="false">A22+1</f>
        <v>22</v>
      </c>
      <c r="B23" s="0" t="s">
        <v>162</v>
      </c>
      <c r="C23" s="0" t="n">
        <f aca="false">C22+2</f>
        <v>142</v>
      </c>
      <c r="D23" s="0" t="n">
        <f aca="false">D22+2</f>
        <v>292</v>
      </c>
      <c r="E23" s="0" t="n">
        <v>10</v>
      </c>
      <c r="F23" s="0" t="n">
        <v>5</v>
      </c>
    </row>
    <row r="24" customFormat="false" ht="14.25" hidden="false" customHeight="false" outlineLevel="0" collapsed="false">
      <c r="A24" s="0" t="n">
        <f aca="false">A23+1</f>
        <v>23</v>
      </c>
      <c r="B24" s="0" t="s">
        <v>163</v>
      </c>
      <c r="C24" s="0" t="n">
        <f aca="false">C23+2</f>
        <v>144</v>
      </c>
      <c r="D24" s="0" t="n">
        <f aca="false">D23+2</f>
        <v>294</v>
      </c>
      <c r="E24" s="0" t="n">
        <v>10</v>
      </c>
      <c r="F24" s="0" t="n">
        <v>5</v>
      </c>
    </row>
    <row r="25" customFormat="false" ht="14.25" hidden="false" customHeight="false" outlineLevel="0" collapsed="false">
      <c r="A25" s="0" t="n">
        <f aca="false">A24+1</f>
        <v>24</v>
      </c>
      <c r="B25" s="0" t="s">
        <v>164</v>
      </c>
      <c r="C25" s="0" t="n">
        <f aca="false">C24+2</f>
        <v>146</v>
      </c>
      <c r="D25" s="0" t="n">
        <f aca="false">D24+2</f>
        <v>296</v>
      </c>
      <c r="E25" s="0" t="n">
        <v>10</v>
      </c>
      <c r="F25" s="0" t="n">
        <v>5</v>
      </c>
    </row>
    <row r="26" customFormat="false" ht="14.25" hidden="false" customHeight="false" outlineLevel="0" collapsed="false">
      <c r="A26" s="0" t="n">
        <f aca="false">A25+1</f>
        <v>25</v>
      </c>
      <c r="B26" s="0" t="s">
        <v>165</v>
      </c>
      <c r="C26" s="0" t="n">
        <f aca="false">C25+2</f>
        <v>148</v>
      </c>
      <c r="D26" s="0" t="n">
        <f aca="false">D25+2</f>
        <v>298</v>
      </c>
      <c r="E26" s="0" t="n">
        <v>10</v>
      </c>
      <c r="F26" s="0" t="n">
        <v>5</v>
      </c>
    </row>
    <row r="27" customFormat="false" ht="14.25" hidden="false" customHeight="false" outlineLevel="0" collapsed="false">
      <c r="A27" s="0" t="n">
        <f aca="false">A26+1</f>
        <v>26</v>
      </c>
      <c r="B27" s="0" t="s">
        <v>166</v>
      </c>
      <c r="C27" s="0" t="n">
        <f aca="false">C26+2</f>
        <v>150</v>
      </c>
      <c r="D27" s="0" t="n">
        <f aca="false">D26+2</f>
        <v>300</v>
      </c>
      <c r="E27" s="0" t="n">
        <v>10</v>
      </c>
      <c r="F27" s="0" t="n">
        <v>5</v>
      </c>
    </row>
    <row r="28" customFormat="false" ht="14.25" hidden="false" customHeight="false" outlineLevel="0" collapsed="false">
      <c r="A28" s="0" t="n">
        <f aca="false">A27+1</f>
        <v>27</v>
      </c>
      <c r="B28" s="0" t="s">
        <v>167</v>
      </c>
      <c r="C28" s="0" t="n">
        <f aca="false">C27+2</f>
        <v>152</v>
      </c>
      <c r="D28" s="0" t="n">
        <f aca="false">D27+2</f>
        <v>302</v>
      </c>
      <c r="E28" s="0" t="n">
        <v>10</v>
      </c>
      <c r="F28" s="0" t="n">
        <v>5</v>
      </c>
    </row>
    <row r="29" customFormat="false" ht="14.25" hidden="false" customHeight="false" outlineLevel="0" collapsed="false">
      <c r="A29" s="0" t="n">
        <f aca="false">A28+1</f>
        <v>28</v>
      </c>
      <c r="B29" s="0" t="s">
        <v>168</v>
      </c>
      <c r="C29" s="0" t="n">
        <f aca="false">C28+2</f>
        <v>154</v>
      </c>
      <c r="D29" s="0" t="n">
        <f aca="false">D28+2</f>
        <v>304</v>
      </c>
      <c r="E29" s="0" t="n">
        <v>10</v>
      </c>
      <c r="F29" s="0" t="n">
        <v>5</v>
      </c>
    </row>
    <row r="30" customFormat="false" ht="14.25" hidden="false" customHeight="false" outlineLevel="0" collapsed="false">
      <c r="A30" s="0" t="n">
        <f aca="false">A29+1</f>
        <v>29</v>
      </c>
      <c r="B30" s="0" t="s">
        <v>169</v>
      </c>
      <c r="C30" s="0" t="n">
        <f aca="false">C29+2</f>
        <v>156</v>
      </c>
      <c r="D30" s="0" t="n">
        <f aca="false">D29+2</f>
        <v>306</v>
      </c>
      <c r="E30" s="0" t="n">
        <v>10</v>
      </c>
      <c r="F30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</row>
    <row r="2" customFormat="false" ht="14.25" hidden="false" customHeight="false" outlineLevel="0" collapsed="false">
      <c r="A2" s="0" t="n">
        <v>1</v>
      </c>
      <c r="B2" s="0" t="s">
        <v>170</v>
      </c>
      <c r="C2" s="0" t="n">
        <v>0</v>
      </c>
      <c r="D2" s="0" t="n">
        <f aca="false">428.1-50</f>
        <v>378.1</v>
      </c>
      <c r="E2" s="0" t="n">
        <v>50</v>
      </c>
      <c r="F2" s="0" t="n">
        <v>50</v>
      </c>
    </row>
    <row r="16" customFormat="false" ht="14.25" hidden="false" customHeight="false" outlineLevel="0" collapsed="false">
      <c r="Y16" s="0" t="n">
        <f aca="false">856.2/2</f>
        <v>428.1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</row>
    <row r="2" customFormat="false" ht="14.25" hidden="false" customHeight="false" outlineLevel="0" collapsed="false">
      <c r="A2" s="0" t="n">
        <v>1</v>
      </c>
      <c r="B2" s="0" t="s">
        <v>171</v>
      </c>
      <c r="C2" s="0" t="n">
        <v>200</v>
      </c>
      <c r="D2" s="0" t="n">
        <v>0</v>
      </c>
      <c r="E2" s="0" t="n">
        <v>50</v>
      </c>
      <c r="F2" s="0" t="n">
        <v>50</v>
      </c>
    </row>
    <row r="3" customFormat="false" ht="14.25" hidden="false" customHeight="false" outlineLevel="0" collapsed="false">
      <c r="A3" s="0" t="n">
        <v>2</v>
      </c>
      <c r="B3" s="0" t="s">
        <v>172</v>
      </c>
      <c r="C3" s="0" t="n">
        <v>200</v>
      </c>
      <c r="D3" s="0" t="n">
        <f aca="false">865.62-50</f>
        <v>815.62</v>
      </c>
      <c r="E3" s="0" t="n">
        <v>50</v>
      </c>
      <c r="F3" s="0" t="n">
        <v>50</v>
      </c>
    </row>
    <row r="4" customFormat="false" ht="14.25" hidden="false" customHeight="false" outlineLevel="0" collapsed="false">
      <c r="A4" s="0" t="n">
        <v>3</v>
      </c>
      <c r="B4" s="0" t="s">
        <v>173</v>
      </c>
      <c r="C4" s="0" t="n">
        <f aca="false">1538.9-50</f>
        <v>1488.9</v>
      </c>
      <c r="D4" s="0" t="n">
        <v>0</v>
      </c>
      <c r="E4" s="0" t="n">
        <v>50</v>
      </c>
      <c r="F4" s="0" t="n">
        <v>50</v>
      </c>
    </row>
    <row r="5" customFormat="false" ht="14.25" hidden="false" customHeight="false" outlineLevel="0" collapsed="false">
      <c r="A5" s="0" t="n">
        <v>4</v>
      </c>
      <c r="B5" s="0" t="s">
        <v>174</v>
      </c>
      <c r="C5" s="0" t="n">
        <v>1488.9</v>
      </c>
      <c r="D5" s="0" t="n">
        <v>815.62</v>
      </c>
      <c r="E5" s="0" t="n">
        <v>50</v>
      </c>
      <c r="F5" s="0" t="n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9.1601562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33</v>
      </c>
      <c r="D1" s="0" t="s">
        <v>34</v>
      </c>
      <c r="E1" s="0" t="s">
        <v>35</v>
      </c>
      <c r="F1" s="0" t="s">
        <v>36</v>
      </c>
    </row>
    <row r="2" customFormat="false" ht="13.8" hidden="false" customHeight="false" outlineLevel="0" collapsed="false">
      <c r="A2" s="0" t="n">
        <v>1</v>
      </c>
      <c r="B2" s="0" t="s">
        <v>175</v>
      </c>
      <c r="C2" s="0" t="n">
        <v>470.19</v>
      </c>
      <c r="D2" s="0" t="n">
        <v>362.83</v>
      </c>
      <c r="E2" s="0" t="n">
        <v>36</v>
      </c>
      <c r="F2" s="0" t="n">
        <v>420</v>
      </c>
    </row>
    <row r="3" customFormat="false" ht="13.8" hidden="false" customHeight="false" outlineLevel="0" collapsed="false">
      <c r="A3" s="0" t="n">
        <v>2</v>
      </c>
      <c r="B3" s="0" t="s">
        <v>176</v>
      </c>
      <c r="C3" s="0" t="n">
        <v>1073.65</v>
      </c>
      <c r="D3" s="0" t="n">
        <v>372.83</v>
      </c>
      <c r="E3" s="0" t="n">
        <v>15</v>
      </c>
      <c r="F3" s="0" t="n">
        <v>220</v>
      </c>
    </row>
    <row r="4" customFormat="false" ht="13.8" hidden="false" customHeight="false" outlineLevel="0" collapsed="false">
      <c r="A4" s="0" t="n">
        <v>3</v>
      </c>
      <c r="B4" s="0" t="s">
        <v>177</v>
      </c>
      <c r="C4" s="0" t="n">
        <v>313</v>
      </c>
      <c r="D4" s="0" t="n">
        <v>415</v>
      </c>
      <c r="E4" s="0" t="n">
        <v>160</v>
      </c>
      <c r="F4" s="0" t="n">
        <v>36</v>
      </c>
    </row>
    <row r="5" customFormat="false" ht="13.8" hidden="false" customHeight="false" outlineLevel="0" collapsed="false">
      <c r="A5" s="0" t="n">
        <v>4</v>
      </c>
      <c r="B5" s="0" t="s">
        <v>178</v>
      </c>
      <c r="C5" s="0" t="n">
        <v>1015.65</v>
      </c>
      <c r="D5" s="0" t="n">
        <v>425.83</v>
      </c>
      <c r="E5" s="0" t="n">
        <v>220</v>
      </c>
      <c r="F5" s="0" t="n">
        <v>15</v>
      </c>
    </row>
    <row r="6" customFormat="false" ht="13.8" hidden="false" customHeight="false" outlineLevel="0" collapsed="false">
      <c r="A6" s="0" t="n">
        <v>5</v>
      </c>
      <c r="B6" s="0" t="s">
        <v>179</v>
      </c>
      <c r="C6" s="0" t="n">
        <v>545</v>
      </c>
      <c r="D6" s="0" t="n">
        <v>423.83</v>
      </c>
      <c r="E6" s="0" t="n">
        <v>660</v>
      </c>
      <c r="F6" s="0" t="n">
        <v>17</v>
      </c>
    </row>
    <row r="7" customFormat="false" ht="13.8" hidden="false" customHeight="false" outlineLevel="0" collapsed="false">
      <c r="A7" s="0" t="n">
        <v>6</v>
      </c>
      <c r="B7" s="0" t="s">
        <v>180</v>
      </c>
      <c r="C7" s="0" t="n">
        <v>844.92</v>
      </c>
      <c r="D7" s="0" t="n">
        <v>130.83</v>
      </c>
      <c r="E7" s="0" t="n">
        <v>15</v>
      </c>
      <c r="F7" s="0" t="n">
        <v>600</v>
      </c>
    </row>
    <row r="8" customFormat="false" ht="13.8" hidden="false" customHeight="false" outlineLevel="0" collapsed="false">
      <c r="A8" s="0" t="n">
        <f aca="false">A7+1</f>
        <v>7</v>
      </c>
      <c r="B8" s="0" t="s">
        <v>181</v>
      </c>
      <c r="C8" s="1" t="n">
        <v>1311.55</v>
      </c>
      <c r="D8" s="1" t="n">
        <f aca="false">88</f>
        <v>88</v>
      </c>
      <c r="E8" s="1" t="n">
        <v>36</v>
      </c>
      <c r="F8" s="1" t="n">
        <v>700</v>
      </c>
    </row>
    <row r="9" customFormat="false" ht="13.8" hidden="false" customHeight="false" outlineLevel="0" collapsed="false">
      <c r="A9" s="0" t="n">
        <f aca="false">A8+1</f>
        <v>8</v>
      </c>
      <c r="B9" s="0" t="s">
        <v>182</v>
      </c>
      <c r="C9" s="0" t="n">
        <v>309.19</v>
      </c>
      <c r="D9" s="0" t="n">
        <v>55</v>
      </c>
      <c r="E9" s="0" t="n">
        <v>36</v>
      </c>
      <c r="F9" s="1" t="n">
        <v>740</v>
      </c>
    </row>
    <row r="10" customFormat="false" ht="13.8" hidden="false" customHeight="false" outlineLevel="0" collapsed="false">
      <c r="A10" s="0" t="n">
        <f aca="false">A9+1</f>
        <v>9</v>
      </c>
      <c r="B10" s="0" t="s">
        <v>183</v>
      </c>
      <c r="C10" s="0" t="n">
        <v>470</v>
      </c>
      <c r="D10" s="0" t="n">
        <v>90</v>
      </c>
      <c r="E10" s="0" t="n">
        <v>36</v>
      </c>
      <c r="F10" s="0" t="n">
        <v>500</v>
      </c>
    </row>
    <row r="11" customFormat="false" ht="13.8" hidden="false" customHeight="false" outlineLevel="0" collapsed="false">
      <c r="A11" s="0" t="n">
        <f aca="false">A10+1</f>
        <v>10</v>
      </c>
      <c r="B11" s="0" t="s">
        <v>184</v>
      </c>
      <c r="C11" s="0" t="n">
        <v>619.19</v>
      </c>
      <c r="D11" s="0" t="n">
        <v>121</v>
      </c>
      <c r="E11" s="0" t="n">
        <v>15</v>
      </c>
      <c r="F11" s="0" t="n">
        <v>640</v>
      </c>
    </row>
    <row r="12" customFormat="false" ht="13.8" hidden="false" customHeight="false" outlineLevel="0" collapsed="false">
      <c r="A12" s="0" t="n">
        <f aca="false">A11+1</f>
        <v>11</v>
      </c>
      <c r="B12" s="0" t="s">
        <v>185</v>
      </c>
      <c r="C12" s="0" t="n">
        <v>590.92</v>
      </c>
      <c r="D12" s="0" t="n">
        <v>173.83</v>
      </c>
      <c r="E12" s="0" t="n">
        <v>140</v>
      </c>
      <c r="F12" s="0" t="n">
        <v>18</v>
      </c>
    </row>
    <row r="13" customFormat="false" ht="13.8" hidden="false" customHeight="false" outlineLevel="0" collapsed="false">
      <c r="A13" s="0" t="n">
        <f aca="false">A12+1</f>
        <v>12</v>
      </c>
      <c r="B13" s="0" t="s">
        <v>186</v>
      </c>
      <c r="C13" s="0" t="n">
        <v>590.92</v>
      </c>
      <c r="D13" s="0" t="n">
        <v>263.83</v>
      </c>
      <c r="E13" s="0" t="n">
        <v>140</v>
      </c>
      <c r="F13" s="0" t="n">
        <v>18</v>
      </c>
    </row>
    <row r="14" customFormat="false" ht="13.8" hidden="false" customHeight="false" outlineLevel="0" collapsed="false">
      <c r="A14" s="0" t="n">
        <f aca="false">A13+1</f>
        <v>13</v>
      </c>
      <c r="B14" s="0" t="s">
        <v>187</v>
      </c>
      <c r="C14" s="0" t="n">
        <v>590.92</v>
      </c>
      <c r="D14" s="0" t="n">
        <v>353.83</v>
      </c>
      <c r="E14" s="0" t="n">
        <v>140</v>
      </c>
      <c r="F14" s="0" t="n">
        <v>18</v>
      </c>
    </row>
    <row r="15" customFormat="false" ht="13.8" hidden="false" customHeight="false" outlineLevel="0" collapsed="false">
      <c r="A15" s="0" t="n">
        <f aca="false">A14+1</f>
        <v>14</v>
      </c>
      <c r="B15" s="0" t="s">
        <v>188</v>
      </c>
      <c r="C15" s="0" t="n">
        <v>590.92</v>
      </c>
      <c r="D15" s="0" t="n">
        <v>493.83</v>
      </c>
      <c r="E15" s="0" t="n">
        <v>140</v>
      </c>
      <c r="F15" s="0" t="n">
        <v>18</v>
      </c>
    </row>
    <row r="16" customFormat="false" ht="13.8" hidden="false" customHeight="false" outlineLevel="0" collapsed="false">
      <c r="A16" s="0" t="n">
        <f aca="false">A15+1</f>
        <v>15</v>
      </c>
      <c r="B16" s="0" t="s">
        <v>189</v>
      </c>
      <c r="C16" s="0" t="n">
        <v>590.92</v>
      </c>
      <c r="D16" s="0" t="n">
        <v>673.83</v>
      </c>
      <c r="E16" s="0" t="n">
        <v>140</v>
      </c>
      <c r="F16" s="0" t="n">
        <v>18</v>
      </c>
    </row>
    <row r="17" customFormat="false" ht="13.8" hidden="false" customHeight="false" outlineLevel="0" collapsed="false">
      <c r="A17" s="0" t="n">
        <f aca="false">A16+1</f>
        <v>16</v>
      </c>
      <c r="B17" s="0" t="s">
        <v>190</v>
      </c>
      <c r="C17" s="0" t="n">
        <v>1040.38</v>
      </c>
      <c r="D17" s="0" t="n">
        <v>173.83</v>
      </c>
      <c r="E17" s="0" t="n">
        <v>140</v>
      </c>
      <c r="F17" s="0" t="n">
        <v>18</v>
      </c>
    </row>
    <row r="18" customFormat="false" ht="13.8" hidden="false" customHeight="false" outlineLevel="0" collapsed="false">
      <c r="A18" s="0" t="n">
        <f aca="false">A17+1</f>
        <v>17</v>
      </c>
      <c r="B18" s="0" t="s">
        <v>191</v>
      </c>
      <c r="C18" s="0" t="n">
        <v>1040.38</v>
      </c>
      <c r="D18" s="0" t="n">
        <v>353.83</v>
      </c>
      <c r="E18" s="0" t="n">
        <v>140</v>
      </c>
      <c r="F18" s="0" t="n">
        <v>18</v>
      </c>
    </row>
    <row r="19" customFormat="false" ht="13.8" hidden="false" customHeight="false" outlineLevel="0" collapsed="false">
      <c r="A19" s="0" t="n">
        <f aca="false">A18+1</f>
        <v>18</v>
      </c>
      <c r="B19" s="0" t="s">
        <v>192</v>
      </c>
      <c r="C19" s="0" t="n">
        <v>1040.38</v>
      </c>
      <c r="D19" s="0" t="n">
        <v>493.83</v>
      </c>
      <c r="E19" s="0" t="n">
        <v>140</v>
      </c>
      <c r="F19" s="0" t="n">
        <v>18</v>
      </c>
    </row>
    <row r="20" customFormat="false" ht="13.8" hidden="false" customHeight="false" outlineLevel="0" collapsed="false">
      <c r="A20" s="0" t="n">
        <f aca="false">A19+1</f>
        <v>19</v>
      </c>
      <c r="B20" s="0" t="s">
        <v>193</v>
      </c>
      <c r="C20" s="0" t="n">
        <v>1040.38</v>
      </c>
      <c r="D20" s="0" t="n">
        <v>582.83</v>
      </c>
      <c r="E20" s="0" t="n">
        <v>140</v>
      </c>
      <c r="F20" s="0" t="n">
        <v>18</v>
      </c>
    </row>
    <row r="21" customFormat="false" ht="13.8" hidden="false" customHeight="false" outlineLevel="0" collapsed="false">
      <c r="A21" s="0" t="n">
        <f aca="false">A20+1</f>
        <v>20</v>
      </c>
      <c r="B21" s="0" t="s">
        <v>194</v>
      </c>
      <c r="C21" s="0" t="n">
        <v>1040.38</v>
      </c>
      <c r="D21" s="0" t="n">
        <v>673.83</v>
      </c>
      <c r="E21" s="0" t="n">
        <v>140</v>
      </c>
      <c r="F21" s="0" t="n">
        <v>18</v>
      </c>
    </row>
    <row r="22" customFormat="false" ht="13.8" hidden="false" customHeight="false" outlineLevel="0" collapsed="false">
      <c r="A22" s="0" t="n">
        <f aca="false">A21+1</f>
        <v>21</v>
      </c>
      <c r="B22" s="0" t="s">
        <v>195</v>
      </c>
      <c r="C22" s="0" t="n">
        <v>1073.65</v>
      </c>
      <c r="D22" s="0" t="n">
        <v>122.83</v>
      </c>
      <c r="E22" s="0" t="n">
        <v>16</v>
      </c>
      <c r="F22" s="0" t="n">
        <v>610</v>
      </c>
    </row>
    <row r="23" customFormat="false" ht="13.8" hidden="false" customHeight="false" outlineLevel="0" collapsed="false">
      <c r="A23" s="0" t="n">
        <f aca="false">A22+1</f>
        <v>22</v>
      </c>
      <c r="B23" s="0" t="s">
        <v>196</v>
      </c>
      <c r="C23" s="0" t="n">
        <v>635.83</v>
      </c>
      <c r="D23" s="0" t="n">
        <v>583.83</v>
      </c>
      <c r="E23" s="0" t="n">
        <v>30</v>
      </c>
      <c r="F23" s="0" t="n">
        <v>18</v>
      </c>
    </row>
    <row r="24" customFormat="false" ht="13.8" hidden="false" customHeight="false" outlineLevel="0" collapsed="false">
      <c r="A24" s="0" t="n">
        <v>23</v>
      </c>
      <c r="B24" s="0" t="s">
        <v>197</v>
      </c>
      <c r="C24" s="0" t="n">
        <v>513</v>
      </c>
      <c r="D24" s="0" t="n">
        <v>743.83</v>
      </c>
      <c r="E24" s="0" t="n">
        <v>100</v>
      </c>
      <c r="F24" s="0" t="n">
        <v>18</v>
      </c>
    </row>
    <row r="25" customFormat="false" ht="13.8" hidden="false" customHeight="false" outlineLevel="0" collapsed="false">
      <c r="A25" s="0" t="n">
        <v>24</v>
      </c>
      <c r="B25" s="0" t="s">
        <v>198</v>
      </c>
      <c r="C25" s="0" t="n">
        <v>513</v>
      </c>
      <c r="D25" s="0" t="n">
        <v>103.83</v>
      </c>
      <c r="E25" s="0" t="n">
        <v>100</v>
      </c>
      <c r="F25" s="0" t="n">
        <v>18</v>
      </c>
    </row>
    <row r="26" customFormat="false" ht="13.8" hidden="false" customHeight="false" outlineLevel="0" collapsed="false">
      <c r="A26" s="0" t="n">
        <v>25</v>
      </c>
      <c r="B26" s="0" t="s">
        <v>199</v>
      </c>
      <c r="C26" s="0" t="n">
        <v>305.19</v>
      </c>
      <c r="D26" s="0" t="n">
        <v>412.83</v>
      </c>
      <c r="E26" s="0" t="n">
        <v>39</v>
      </c>
      <c r="F26" s="0" t="n">
        <v>39</v>
      </c>
    </row>
    <row r="27" customFormat="false" ht="13.8" hidden="false" customHeight="false" outlineLevel="0" collapsed="false">
      <c r="A27" s="0" t="n">
        <v>26</v>
      </c>
      <c r="B27" s="0" t="s">
        <v>200</v>
      </c>
      <c r="C27" s="0" t="n">
        <v>743.92</v>
      </c>
      <c r="D27" s="0" t="n">
        <v>90</v>
      </c>
      <c r="E27" s="0" t="n">
        <v>19</v>
      </c>
      <c r="F27" s="0" t="n">
        <v>19</v>
      </c>
    </row>
    <row r="28" customFormat="false" ht="13.8" hidden="false" customHeight="false" outlineLevel="0" collapsed="false">
      <c r="A28" s="0" t="n">
        <v>27</v>
      </c>
      <c r="B28" s="0" t="s">
        <v>201</v>
      </c>
      <c r="C28" s="0" t="n">
        <v>943.92</v>
      </c>
      <c r="D28" s="0" t="n">
        <v>90</v>
      </c>
      <c r="E28" s="0" t="n">
        <v>19</v>
      </c>
      <c r="F28" s="0" t="n">
        <v>19</v>
      </c>
    </row>
    <row r="29" customFormat="false" ht="13.8" hidden="false" customHeight="false" outlineLevel="0" collapsed="false">
      <c r="A29" s="0" t="n">
        <v>28</v>
      </c>
      <c r="B29" s="0" t="s">
        <v>202</v>
      </c>
      <c r="C29" s="0" t="n">
        <v>743.92</v>
      </c>
      <c r="D29" s="0" t="n">
        <v>770</v>
      </c>
      <c r="E29" s="0" t="n">
        <v>19</v>
      </c>
      <c r="F29" s="0" t="n">
        <v>19</v>
      </c>
    </row>
    <row r="30" customFormat="false" ht="13.8" hidden="false" customHeight="false" outlineLevel="0" collapsed="false">
      <c r="A30" s="0" t="n">
        <v>29</v>
      </c>
      <c r="B30" s="0" t="s">
        <v>203</v>
      </c>
      <c r="C30" s="0" t="n">
        <v>943.92</v>
      </c>
      <c r="D30" s="0" t="n">
        <v>770</v>
      </c>
      <c r="E30" s="0" t="n">
        <v>19</v>
      </c>
      <c r="F30" s="0" t="n">
        <v>19</v>
      </c>
    </row>
    <row r="31" customFormat="false" ht="13.8" hidden="false" customHeight="false" outlineLevel="0" collapsed="false">
      <c r="A31" s="0" t="n">
        <v>30</v>
      </c>
      <c r="B31" s="0" t="s">
        <v>204</v>
      </c>
      <c r="C31" s="1" t="n">
        <v>1197.83</v>
      </c>
      <c r="D31" s="0" t="n">
        <v>90</v>
      </c>
      <c r="E31" s="0" t="n">
        <v>19</v>
      </c>
      <c r="F31" s="0" t="n">
        <v>19</v>
      </c>
    </row>
    <row r="32" customFormat="false" ht="13.8" hidden="false" customHeight="false" outlineLevel="0" collapsed="false">
      <c r="A32" s="0" t="n">
        <v>31</v>
      </c>
      <c r="B32" s="0" t="s">
        <v>205</v>
      </c>
      <c r="C32" s="1" t="n">
        <v>1197.83</v>
      </c>
      <c r="D32" s="0" t="n">
        <v>770</v>
      </c>
      <c r="E32" s="0" t="n">
        <v>19</v>
      </c>
      <c r="F32" s="0" t="n">
        <v>19</v>
      </c>
    </row>
    <row r="33" customFormat="false" ht="13.8" hidden="false" customHeight="false" outlineLevel="0" collapsed="false">
      <c r="A33" s="0" t="n">
        <v>32</v>
      </c>
      <c r="B33" s="0" t="s">
        <v>206</v>
      </c>
      <c r="C33" s="0" t="n">
        <v>1088.38</v>
      </c>
      <c r="D33" s="0" t="n">
        <v>263.83</v>
      </c>
      <c r="E33" s="0" t="n">
        <v>30</v>
      </c>
      <c r="F33" s="0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0" activeCellId="0" sqref="J50"/>
    </sheetView>
  </sheetViews>
  <sheetFormatPr defaultColWidth="9.14453125" defaultRowHeight="12.8" zeroHeight="false" outlineLevelRow="0" outlineLevelCol="0"/>
  <cols>
    <col collapsed="false" customWidth="true" hidden="false" outlineLevel="0" max="7" min="7" style="0" width="14.5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207</v>
      </c>
      <c r="D1" s="0" t="s">
        <v>208</v>
      </c>
      <c r="E1" s="0" t="s">
        <v>209</v>
      </c>
      <c r="F1" s="0" t="s">
        <v>210</v>
      </c>
      <c r="G1" s="0" t="s">
        <v>211</v>
      </c>
      <c r="H1" s="0" t="s">
        <v>212</v>
      </c>
    </row>
    <row r="2" customFormat="false" ht="13.8" hidden="false" customHeight="false" outlineLevel="0" collapsed="false">
      <c r="A2" s="0" t="n">
        <v>1</v>
      </c>
      <c r="B2" s="0" t="s">
        <v>213</v>
      </c>
      <c r="C2" s="0" t="n">
        <v>623.19</v>
      </c>
      <c r="D2" s="0" t="n">
        <v>117.83</v>
      </c>
      <c r="E2" s="0" t="n">
        <v>623.19</v>
      </c>
      <c r="F2" s="0" t="n">
        <v>747.83</v>
      </c>
      <c r="G2" s="0" t="s">
        <v>214</v>
      </c>
      <c r="H2" s="0" t="s">
        <v>214</v>
      </c>
    </row>
    <row r="3" customFormat="false" ht="13.8" hidden="false" customHeight="false" outlineLevel="0" collapsed="false">
      <c r="A3" s="0" t="n">
        <v>2</v>
      </c>
      <c r="B3" s="0" t="s">
        <v>215</v>
      </c>
      <c r="C3" s="0" t="n">
        <v>633.19</v>
      </c>
      <c r="D3" s="0" t="n">
        <v>117.83</v>
      </c>
      <c r="E3" s="0" t="n">
        <v>633.19</v>
      </c>
      <c r="F3" s="0" t="n">
        <v>747.83</v>
      </c>
      <c r="G3" s="0" t="s">
        <v>214</v>
      </c>
      <c r="H3" s="0" t="s">
        <v>214</v>
      </c>
    </row>
    <row r="4" customFormat="false" ht="13.8" hidden="false" customHeight="false" outlineLevel="0" collapsed="false">
      <c r="A4" s="0" t="n">
        <f aca="false">A3+1</f>
        <v>3</v>
      </c>
      <c r="B4" s="0" t="s">
        <v>216</v>
      </c>
      <c r="C4" s="0" t="n">
        <v>539.02</v>
      </c>
      <c r="D4" s="0" t="n">
        <v>437.83</v>
      </c>
      <c r="E4" s="0" t="n">
        <v>585.4</v>
      </c>
      <c r="F4" s="0" t="n">
        <v>427.83</v>
      </c>
      <c r="G4" s="0" t="s">
        <v>217</v>
      </c>
      <c r="H4" s="0" t="s">
        <v>214</v>
      </c>
    </row>
    <row r="5" customFormat="false" ht="13.8" hidden="false" customHeight="false" outlineLevel="0" collapsed="false">
      <c r="A5" s="0" t="n">
        <f aca="false">A4+1</f>
        <v>4</v>
      </c>
      <c r="B5" s="0" t="s">
        <v>218</v>
      </c>
      <c r="C5" s="0" t="n">
        <v>539.02</v>
      </c>
      <c r="D5" s="0" t="n">
        <v>427.83</v>
      </c>
      <c r="E5" s="0" t="n">
        <v>585.4</v>
      </c>
      <c r="F5" s="0" t="n">
        <v>437.83</v>
      </c>
      <c r="G5" s="0" t="s">
        <v>217</v>
      </c>
      <c r="H5" s="0" t="s">
        <v>214</v>
      </c>
    </row>
    <row r="6" customFormat="false" ht="13.8" hidden="false" customHeight="false" outlineLevel="0" collapsed="false">
      <c r="A6" s="0" t="n">
        <f aca="false">A5+1</f>
        <v>5</v>
      </c>
      <c r="B6" s="0" t="s">
        <v>219</v>
      </c>
      <c r="C6" s="0" t="n">
        <v>696.5</v>
      </c>
      <c r="D6" s="0" t="n">
        <v>427.83</v>
      </c>
      <c r="E6" s="0" t="n">
        <v>753.92</v>
      </c>
      <c r="F6" s="0" t="n">
        <v>437.83</v>
      </c>
      <c r="G6" s="0" t="s">
        <v>217</v>
      </c>
      <c r="H6" s="0" t="s">
        <v>214</v>
      </c>
    </row>
    <row r="7" customFormat="false" ht="13.8" hidden="false" customHeight="false" outlineLevel="0" collapsed="false">
      <c r="A7" s="0" t="n">
        <f aca="false">A6+1</f>
        <v>6</v>
      </c>
      <c r="B7" s="0" t="s">
        <v>220</v>
      </c>
      <c r="C7" s="0" t="n">
        <v>696.5</v>
      </c>
      <c r="D7" s="0" t="n">
        <v>437.83</v>
      </c>
      <c r="E7" s="0" t="n">
        <v>753.92</v>
      </c>
      <c r="F7" s="0" t="n">
        <v>427.83</v>
      </c>
      <c r="G7" s="0" t="s">
        <v>217</v>
      </c>
      <c r="H7" s="0" t="s">
        <v>214</v>
      </c>
    </row>
    <row r="8" customFormat="false" ht="13.8" hidden="false" customHeight="false" outlineLevel="0" collapsed="false">
      <c r="A8" s="0" t="n">
        <f aca="false">A7+1</f>
        <v>7</v>
      </c>
      <c r="B8" s="0" t="s">
        <v>221</v>
      </c>
      <c r="C8" s="0" t="n">
        <v>938.1</v>
      </c>
      <c r="D8" s="0" t="n">
        <v>437.83</v>
      </c>
      <c r="E8" s="0" t="n">
        <v>1008.15</v>
      </c>
      <c r="F8" s="0" t="n">
        <v>427.83</v>
      </c>
      <c r="G8" s="0" t="s">
        <v>217</v>
      </c>
      <c r="H8" s="0" t="s">
        <v>214</v>
      </c>
    </row>
    <row r="9" customFormat="false" ht="13.8" hidden="false" customHeight="false" outlineLevel="0" collapsed="false">
      <c r="A9" s="0" t="n">
        <f aca="false">A8+1</f>
        <v>8</v>
      </c>
      <c r="B9" s="0" t="s">
        <v>222</v>
      </c>
      <c r="C9" s="0" t="n">
        <v>938.1</v>
      </c>
      <c r="D9" s="0" t="n">
        <v>427.83</v>
      </c>
      <c r="E9" s="0" t="n">
        <v>1008.15</v>
      </c>
      <c r="F9" s="0" t="n">
        <v>437.83</v>
      </c>
      <c r="G9" s="0" t="s">
        <v>217</v>
      </c>
      <c r="H9" s="0" t="s">
        <v>214</v>
      </c>
    </row>
    <row r="10" customFormat="false" ht="13.8" hidden="false" customHeight="false" outlineLevel="0" collapsed="false">
      <c r="A10" s="0" t="n">
        <f aca="false">A9+1</f>
        <v>9</v>
      </c>
      <c r="B10" s="0" t="s">
        <v>223</v>
      </c>
      <c r="C10" s="0" t="n">
        <v>1181.43</v>
      </c>
      <c r="D10" s="0" t="n">
        <v>437.83</v>
      </c>
      <c r="E10" s="0" t="n">
        <v>1249.9</v>
      </c>
      <c r="F10" s="0" t="n">
        <v>427.83</v>
      </c>
      <c r="G10" s="0" t="s">
        <v>217</v>
      </c>
      <c r="H10" s="0" t="s">
        <v>214</v>
      </c>
    </row>
    <row r="11" customFormat="false" ht="13.8" hidden="false" customHeight="false" outlineLevel="0" collapsed="false">
      <c r="A11" s="0" t="n">
        <f aca="false">A10+1</f>
        <v>10</v>
      </c>
      <c r="B11" s="0" t="s">
        <v>224</v>
      </c>
      <c r="C11" s="0" t="n">
        <v>1181.43</v>
      </c>
      <c r="D11" s="0" t="n">
        <v>427.83</v>
      </c>
      <c r="E11" s="0" t="n">
        <v>1249.9</v>
      </c>
      <c r="F11" s="0" t="n">
        <v>437.83</v>
      </c>
      <c r="G11" s="0" t="s">
        <v>217</v>
      </c>
      <c r="H11" s="0" t="s">
        <v>214</v>
      </c>
    </row>
    <row r="12" customFormat="false" ht="13.8" hidden="false" customHeight="false" outlineLevel="0" collapsed="false">
      <c r="A12" s="0" t="n">
        <f aca="false">A11+1</f>
        <v>11</v>
      </c>
      <c r="B12" s="0" t="s">
        <v>225</v>
      </c>
      <c r="C12" s="0" t="n">
        <v>623.19</v>
      </c>
      <c r="D12" s="0" t="n">
        <v>357.83</v>
      </c>
      <c r="E12" s="0" t="n">
        <v>633.19</v>
      </c>
      <c r="F12" s="0" t="n">
        <v>277.83</v>
      </c>
      <c r="G12" s="0" t="s">
        <v>217</v>
      </c>
      <c r="H12" s="0" t="s">
        <v>214</v>
      </c>
    </row>
    <row r="13" customFormat="false" ht="13.8" hidden="false" customHeight="false" outlineLevel="0" collapsed="false">
      <c r="A13" s="0" t="n">
        <f aca="false">A12+1</f>
        <v>12</v>
      </c>
      <c r="B13" s="0" t="s">
        <v>226</v>
      </c>
      <c r="C13" s="0" t="n">
        <v>623.19</v>
      </c>
      <c r="D13" s="0" t="n">
        <v>277.83</v>
      </c>
      <c r="E13" s="0" t="n">
        <v>633.19</v>
      </c>
      <c r="F13" s="0" t="n">
        <v>357.83</v>
      </c>
      <c r="G13" s="0" t="s">
        <v>217</v>
      </c>
      <c r="H13" s="0" t="s">
        <v>214</v>
      </c>
    </row>
    <row r="14" customFormat="false" ht="13.8" hidden="false" customHeight="false" outlineLevel="0" collapsed="false">
      <c r="A14" s="0" t="n">
        <f aca="false">A13+1</f>
        <v>13</v>
      </c>
      <c r="B14" s="0" t="s">
        <v>227</v>
      </c>
      <c r="C14" s="0" t="n">
        <v>623.19</v>
      </c>
      <c r="D14" s="0" t="n">
        <v>177.83</v>
      </c>
      <c r="E14" s="0" t="n">
        <v>633.19</v>
      </c>
      <c r="F14" s="0" t="n">
        <v>117.83</v>
      </c>
      <c r="G14" s="0" t="s">
        <v>217</v>
      </c>
      <c r="H14" s="0" t="s">
        <v>214</v>
      </c>
    </row>
    <row r="15" customFormat="false" ht="13.8" hidden="false" customHeight="false" outlineLevel="0" collapsed="false">
      <c r="A15" s="0" t="n">
        <f aca="false">A14+1</f>
        <v>14</v>
      </c>
      <c r="B15" s="0" t="s">
        <v>228</v>
      </c>
      <c r="C15" s="0" t="n">
        <v>623.19</v>
      </c>
      <c r="D15" s="0" t="n">
        <v>117.83</v>
      </c>
      <c r="E15" s="0" t="n">
        <v>633.19</v>
      </c>
      <c r="F15" s="0" t="n">
        <v>177.83</v>
      </c>
      <c r="G15" s="0" t="s">
        <v>217</v>
      </c>
      <c r="H15" s="0" t="s">
        <v>214</v>
      </c>
    </row>
    <row r="16" customFormat="false" ht="13.8" hidden="false" customHeight="false" outlineLevel="0" collapsed="false">
      <c r="A16" s="0" t="n">
        <f aca="false">A15+1</f>
        <v>15</v>
      </c>
      <c r="B16" s="0" t="s">
        <v>229</v>
      </c>
      <c r="C16" s="0" t="n">
        <v>623.19</v>
      </c>
      <c r="D16" s="0" t="n">
        <v>507.83</v>
      </c>
      <c r="E16" s="0" t="n">
        <v>633.19</v>
      </c>
      <c r="F16" s="0" t="n">
        <v>587.83</v>
      </c>
      <c r="G16" s="0" t="s">
        <v>217</v>
      </c>
      <c r="H16" s="0" t="s">
        <v>214</v>
      </c>
    </row>
    <row r="17" customFormat="false" ht="13.8" hidden="false" customHeight="false" outlineLevel="0" collapsed="false">
      <c r="A17" s="0" t="n">
        <f aca="false">A16+1</f>
        <v>16</v>
      </c>
      <c r="B17" s="0" t="s">
        <v>230</v>
      </c>
      <c r="C17" s="0" t="n">
        <v>623.19</v>
      </c>
      <c r="D17" s="0" t="n">
        <v>587.83</v>
      </c>
      <c r="E17" s="0" t="n">
        <v>633.19</v>
      </c>
      <c r="F17" s="0" t="n">
        <v>507.83</v>
      </c>
      <c r="G17" s="0" t="s">
        <v>217</v>
      </c>
      <c r="H17" s="0" t="s">
        <v>214</v>
      </c>
    </row>
    <row r="18" customFormat="false" ht="13.8" hidden="false" customHeight="false" outlineLevel="0" collapsed="false">
      <c r="A18" s="0" t="n">
        <f aca="false">A17+1</f>
        <v>17</v>
      </c>
      <c r="B18" s="0" t="s">
        <v>231</v>
      </c>
      <c r="C18" s="0" t="n">
        <v>623.19</v>
      </c>
      <c r="D18" s="0" t="n">
        <v>687.83</v>
      </c>
      <c r="E18" s="0" t="n">
        <v>633.19</v>
      </c>
      <c r="F18" s="0" t="n">
        <v>747.83</v>
      </c>
      <c r="G18" s="0" t="s">
        <v>217</v>
      </c>
      <c r="H18" s="0" t="s">
        <v>214</v>
      </c>
    </row>
    <row r="19" customFormat="false" ht="13.8" hidden="false" customHeight="false" outlineLevel="0" collapsed="false">
      <c r="A19" s="0" t="n">
        <f aca="false">A18+1</f>
        <v>18</v>
      </c>
      <c r="B19" s="0" t="s">
        <v>232</v>
      </c>
      <c r="C19" s="0" t="n">
        <v>623.19</v>
      </c>
      <c r="D19" s="0" t="n">
        <v>747.83</v>
      </c>
      <c r="E19" s="0" t="n">
        <v>633.19</v>
      </c>
      <c r="F19" s="0" t="n">
        <v>687.83</v>
      </c>
      <c r="G19" s="0" t="s">
        <v>217</v>
      </c>
      <c r="H19" s="0" t="s">
        <v>214</v>
      </c>
    </row>
    <row r="20" customFormat="false" ht="13.8" hidden="false" customHeight="false" outlineLevel="0" collapsed="false">
      <c r="A20" s="0" t="n">
        <f aca="false">A19+1</f>
        <v>19</v>
      </c>
      <c r="B20" s="0" t="s">
        <v>233</v>
      </c>
      <c r="C20" s="0" t="n">
        <v>848.92</v>
      </c>
      <c r="D20" s="0" t="n">
        <v>196.83</v>
      </c>
      <c r="E20" s="0" t="n">
        <v>858.92</v>
      </c>
      <c r="F20" s="0" t="n">
        <v>312.83</v>
      </c>
      <c r="G20" s="0" t="s">
        <v>217</v>
      </c>
      <c r="H20" s="0" t="s">
        <v>214</v>
      </c>
    </row>
    <row r="21" customFormat="false" ht="13.8" hidden="false" customHeight="false" outlineLevel="0" collapsed="false">
      <c r="A21" s="0" t="n">
        <f aca="false">A20+1</f>
        <v>20</v>
      </c>
      <c r="B21" s="0" t="s">
        <v>234</v>
      </c>
      <c r="C21" s="0" t="n">
        <v>848.92</v>
      </c>
      <c r="D21" s="0" t="n">
        <v>312.83</v>
      </c>
      <c r="E21" s="0" t="n">
        <v>858.92</v>
      </c>
      <c r="F21" s="0" t="n">
        <v>196.83</v>
      </c>
      <c r="G21" s="0" t="s">
        <v>217</v>
      </c>
      <c r="H21" s="0" t="s">
        <v>214</v>
      </c>
    </row>
    <row r="22" customFormat="false" ht="13.8" hidden="false" customHeight="false" outlineLevel="0" collapsed="false">
      <c r="A22" s="0" t="n">
        <f aca="false">A21+1</f>
        <v>21</v>
      </c>
      <c r="B22" s="0" t="s">
        <v>235</v>
      </c>
      <c r="C22" s="0" t="n">
        <v>848.92</v>
      </c>
      <c r="D22" s="0" t="n">
        <v>552.08</v>
      </c>
      <c r="E22" s="0" t="n">
        <v>858.92</v>
      </c>
      <c r="F22" s="0" t="n">
        <v>669.49</v>
      </c>
      <c r="G22" s="0" t="s">
        <v>217</v>
      </c>
      <c r="H22" s="0" t="s">
        <v>214</v>
      </c>
    </row>
    <row r="23" customFormat="false" ht="13.8" hidden="false" customHeight="false" outlineLevel="0" collapsed="false">
      <c r="A23" s="0" t="n">
        <f aca="false">A22+1</f>
        <v>22</v>
      </c>
      <c r="B23" s="0" t="s">
        <v>236</v>
      </c>
      <c r="C23" s="0" t="n">
        <v>848.92</v>
      </c>
      <c r="D23" s="0" t="n">
        <v>669.49</v>
      </c>
      <c r="E23" s="0" t="n">
        <v>858.92</v>
      </c>
      <c r="F23" s="0" t="n">
        <v>552.08</v>
      </c>
      <c r="G23" s="0" t="s">
        <v>217</v>
      </c>
      <c r="H23" s="0" t="s">
        <v>214</v>
      </c>
    </row>
    <row r="24" customFormat="false" ht="13.8" hidden="false" customHeight="false" outlineLevel="0" collapsed="false">
      <c r="A24" s="0" t="n">
        <f aca="false">A23+1</f>
        <v>23</v>
      </c>
      <c r="B24" s="0" t="s">
        <v>237</v>
      </c>
      <c r="C24" s="0" t="n">
        <v>1075.65</v>
      </c>
      <c r="D24" s="0" t="n">
        <v>357.83</v>
      </c>
      <c r="E24" s="0" t="n">
        <v>1085.65</v>
      </c>
      <c r="F24" s="0" t="n">
        <v>277.83</v>
      </c>
      <c r="G24" s="0" t="s">
        <v>217</v>
      </c>
      <c r="H24" s="0" t="s">
        <v>214</v>
      </c>
    </row>
    <row r="25" customFormat="false" ht="13.8" hidden="false" customHeight="false" outlineLevel="0" collapsed="false">
      <c r="A25" s="0" t="n">
        <f aca="false">A24+1</f>
        <v>24</v>
      </c>
      <c r="B25" s="0" t="s">
        <v>238</v>
      </c>
      <c r="C25" s="0" t="n">
        <v>1075.65</v>
      </c>
      <c r="D25" s="0" t="n">
        <v>277.83</v>
      </c>
      <c r="E25" s="0" t="n">
        <v>1085.65</v>
      </c>
      <c r="F25" s="0" t="n">
        <v>357.83</v>
      </c>
      <c r="G25" s="0" t="s">
        <v>217</v>
      </c>
      <c r="H25" s="0" t="s">
        <v>214</v>
      </c>
    </row>
    <row r="26" customFormat="false" ht="13.8" hidden="false" customHeight="false" outlineLevel="0" collapsed="false">
      <c r="A26" s="0" t="n">
        <f aca="false">A25+1</f>
        <v>25</v>
      </c>
      <c r="B26" s="0" t="s">
        <v>239</v>
      </c>
      <c r="C26" s="0" t="n">
        <v>1075.65</v>
      </c>
      <c r="D26" s="0" t="n">
        <v>187.83</v>
      </c>
      <c r="E26" s="0" t="n">
        <v>1085.65</v>
      </c>
      <c r="F26" s="0" t="n">
        <v>122.83</v>
      </c>
      <c r="G26" s="0" t="s">
        <v>217</v>
      </c>
      <c r="H26" s="0" t="s">
        <v>214</v>
      </c>
    </row>
    <row r="27" customFormat="false" ht="13.8" hidden="false" customHeight="false" outlineLevel="0" collapsed="false">
      <c r="A27" s="0" t="n">
        <f aca="false">A26+1</f>
        <v>26</v>
      </c>
      <c r="B27" s="0" t="s">
        <v>240</v>
      </c>
      <c r="C27" s="0" t="n">
        <v>1075.65</v>
      </c>
      <c r="D27" s="0" t="n">
        <v>122.83</v>
      </c>
      <c r="E27" s="0" t="n">
        <v>1085.65</v>
      </c>
      <c r="F27" s="0" t="n">
        <v>187.83</v>
      </c>
      <c r="G27" s="0" t="s">
        <v>217</v>
      </c>
      <c r="H27" s="0" t="s">
        <v>214</v>
      </c>
    </row>
    <row r="28" customFormat="false" ht="13.8" hidden="false" customHeight="false" outlineLevel="0" collapsed="false">
      <c r="A28" s="0" t="n">
        <f aca="false">A27+1</f>
        <v>27</v>
      </c>
      <c r="B28" s="0" t="s">
        <v>241</v>
      </c>
      <c r="C28" s="0" t="n">
        <v>1075.65</v>
      </c>
      <c r="D28" s="0" t="n">
        <v>507.83</v>
      </c>
      <c r="E28" s="0" t="n">
        <v>1085.65</v>
      </c>
      <c r="F28" s="0" t="n">
        <v>587.83</v>
      </c>
      <c r="G28" s="0" t="s">
        <v>217</v>
      </c>
      <c r="H28" s="0" t="s">
        <v>214</v>
      </c>
    </row>
    <row r="29" customFormat="false" ht="13.8" hidden="false" customHeight="false" outlineLevel="0" collapsed="false">
      <c r="A29" s="0" t="n">
        <f aca="false">A28+1</f>
        <v>28</v>
      </c>
      <c r="B29" s="0" t="s">
        <v>242</v>
      </c>
      <c r="C29" s="0" t="n">
        <v>1075.65</v>
      </c>
      <c r="D29" s="0" t="n">
        <v>587.83</v>
      </c>
      <c r="E29" s="0" t="n">
        <v>1085.65</v>
      </c>
      <c r="F29" s="0" t="n">
        <v>507.83</v>
      </c>
      <c r="G29" s="0" t="s">
        <v>217</v>
      </c>
      <c r="H29" s="0" t="s">
        <v>214</v>
      </c>
    </row>
    <row r="30" customFormat="false" ht="13.8" hidden="false" customHeight="false" outlineLevel="0" collapsed="false">
      <c r="A30" s="0" t="n">
        <f aca="false">A29+1</f>
        <v>29</v>
      </c>
      <c r="B30" s="0" t="s">
        <v>243</v>
      </c>
      <c r="C30" s="0" t="n">
        <v>1075.65</v>
      </c>
      <c r="D30" s="0" t="n">
        <v>687.83</v>
      </c>
      <c r="E30" s="0" t="n">
        <v>1085.65</v>
      </c>
      <c r="F30" s="0" t="n">
        <v>747.83</v>
      </c>
      <c r="G30" s="0" t="s">
        <v>217</v>
      </c>
      <c r="H30" s="0" t="s">
        <v>214</v>
      </c>
    </row>
    <row r="31" customFormat="false" ht="13.8" hidden="false" customHeight="false" outlineLevel="0" collapsed="false">
      <c r="A31" s="0" t="n">
        <f aca="false">A30+1</f>
        <v>30</v>
      </c>
      <c r="B31" s="0" t="s">
        <v>244</v>
      </c>
      <c r="C31" s="0" t="n">
        <v>1075.65</v>
      </c>
      <c r="D31" s="0" t="n">
        <v>747.83</v>
      </c>
      <c r="E31" s="0" t="n">
        <v>1085.65</v>
      </c>
      <c r="F31" s="0" t="n">
        <v>687.83</v>
      </c>
      <c r="G31" s="0" t="s">
        <v>217</v>
      </c>
      <c r="H31" s="0" t="s">
        <v>214</v>
      </c>
    </row>
    <row r="32" customFormat="false" ht="13.8" hidden="false" customHeight="false" outlineLevel="0" collapsed="false">
      <c r="A32" s="0" t="n">
        <v>31</v>
      </c>
      <c r="B32" s="0" t="s">
        <v>245</v>
      </c>
      <c r="C32" s="0" t="n">
        <f aca="false">513.19</f>
        <v>513.19</v>
      </c>
      <c r="D32" s="0" t="n">
        <v>107.83</v>
      </c>
      <c r="E32" s="0" t="n">
        <v>210</v>
      </c>
      <c r="F32" s="0" t="n">
        <v>10</v>
      </c>
      <c r="G32" s="0" t="s">
        <v>79</v>
      </c>
      <c r="H32" s="0" t="s">
        <v>246</v>
      </c>
    </row>
    <row r="33" customFormat="false" ht="13.8" hidden="false" customHeight="false" outlineLevel="0" collapsed="false">
      <c r="A33" s="0" t="n">
        <v>32</v>
      </c>
      <c r="B33" s="0" t="s">
        <v>247</v>
      </c>
      <c r="C33" s="0" t="n">
        <v>548.19</v>
      </c>
      <c r="D33" s="0" t="n">
        <v>177.83</v>
      </c>
      <c r="E33" s="0" t="n">
        <v>160</v>
      </c>
      <c r="F33" s="0" t="n">
        <v>10</v>
      </c>
      <c r="G33" s="0" t="s">
        <v>11</v>
      </c>
      <c r="H33" s="0" t="s">
        <v>246</v>
      </c>
    </row>
    <row r="34" customFormat="false" ht="13.8" hidden="false" customHeight="false" outlineLevel="0" collapsed="false">
      <c r="A34" s="0" t="n">
        <v>33</v>
      </c>
      <c r="B34" s="0" t="s">
        <v>248</v>
      </c>
      <c r="C34" s="0" t="n">
        <v>548.19</v>
      </c>
      <c r="D34" s="0" t="n">
        <v>267.83</v>
      </c>
      <c r="E34" s="0" t="n">
        <v>160</v>
      </c>
      <c r="F34" s="0" t="n">
        <v>10</v>
      </c>
      <c r="G34" s="0" t="s">
        <v>12</v>
      </c>
      <c r="H34" s="0" t="s">
        <v>246</v>
      </c>
    </row>
    <row r="35" customFormat="false" ht="13.8" hidden="false" customHeight="false" outlineLevel="0" collapsed="false">
      <c r="A35" s="0" t="n">
        <v>34</v>
      </c>
      <c r="B35" s="0" t="s">
        <v>249</v>
      </c>
      <c r="C35" s="0" t="n">
        <v>548.19</v>
      </c>
      <c r="D35" s="0" t="n">
        <v>357.83</v>
      </c>
      <c r="E35" s="0" t="n">
        <v>160</v>
      </c>
      <c r="F35" s="0" t="n">
        <v>10</v>
      </c>
      <c r="G35" s="0" t="s">
        <v>13</v>
      </c>
      <c r="H35" s="0" t="s">
        <v>246</v>
      </c>
    </row>
    <row r="36" customFormat="false" ht="13.8" hidden="false" customHeight="false" outlineLevel="0" collapsed="false">
      <c r="A36" s="0" t="n">
        <v>35</v>
      </c>
      <c r="B36" s="0" t="s">
        <v>250</v>
      </c>
      <c r="C36" s="0" t="n">
        <v>548.19</v>
      </c>
      <c r="D36" s="0" t="n">
        <v>497.83</v>
      </c>
      <c r="E36" s="0" t="n">
        <v>160</v>
      </c>
      <c r="F36" s="0" t="n">
        <v>10</v>
      </c>
      <c r="G36" s="0" t="s">
        <v>15</v>
      </c>
      <c r="H36" s="0" t="s">
        <v>246</v>
      </c>
    </row>
    <row r="37" customFormat="false" ht="13.8" hidden="false" customHeight="false" outlineLevel="0" collapsed="false">
      <c r="A37" s="0" t="n">
        <v>36</v>
      </c>
      <c r="B37" s="0" t="s">
        <v>251</v>
      </c>
      <c r="C37" s="0" t="n">
        <v>623.83</v>
      </c>
      <c r="D37" s="0" t="n">
        <v>587.8</v>
      </c>
      <c r="E37" s="0" t="n">
        <v>85</v>
      </c>
      <c r="F37" s="0" t="n">
        <v>10</v>
      </c>
      <c r="G37" s="0" t="s">
        <v>20</v>
      </c>
      <c r="H37" s="0" t="s">
        <v>246</v>
      </c>
    </row>
    <row r="38" customFormat="false" ht="13.8" hidden="false" customHeight="false" outlineLevel="0" collapsed="false">
      <c r="A38" s="0" t="n">
        <v>37</v>
      </c>
      <c r="B38" s="0" t="s">
        <v>252</v>
      </c>
      <c r="C38" s="0" t="n">
        <v>548.19</v>
      </c>
      <c r="D38" s="0" t="n">
        <v>677.83</v>
      </c>
      <c r="E38" s="0" t="n">
        <v>160</v>
      </c>
      <c r="F38" s="0" t="n">
        <v>10</v>
      </c>
      <c r="G38" s="0" t="s">
        <v>16</v>
      </c>
      <c r="H38" s="0" t="s">
        <v>246</v>
      </c>
    </row>
    <row r="39" customFormat="false" ht="13.8" hidden="false" customHeight="false" outlineLevel="0" collapsed="false">
      <c r="A39" s="0" t="n">
        <v>38</v>
      </c>
      <c r="B39" s="0" t="s">
        <v>252</v>
      </c>
      <c r="C39" s="0" t="n">
        <f aca="false">513.19</f>
        <v>513.19</v>
      </c>
      <c r="D39" s="0" t="n">
        <v>747.83</v>
      </c>
      <c r="E39" s="0" t="n">
        <v>210</v>
      </c>
      <c r="F39" s="0" t="n">
        <v>10</v>
      </c>
      <c r="G39" s="0" t="s">
        <v>82</v>
      </c>
      <c r="H39" s="0" t="s">
        <v>246</v>
      </c>
    </row>
    <row r="40" customFormat="false" ht="13.8" hidden="false" customHeight="false" outlineLevel="0" collapsed="false">
      <c r="A40" s="0" t="n">
        <v>39</v>
      </c>
      <c r="B40" s="0" t="s">
        <v>253</v>
      </c>
      <c r="C40" s="0" t="n">
        <v>1000.65</v>
      </c>
      <c r="D40" s="0" t="n">
        <v>177.83</v>
      </c>
      <c r="E40" s="0" t="n">
        <v>160</v>
      </c>
      <c r="F40" s="0" t="n">
        <v>10</v>
      </c>
      <c r="G40" s="0" t="s">
        <v>22</v>
      </c>
      <c r="H40" s="0" t="s">
        <v>246</v>
      </c>
    </row>
    <row r="41" customFormat="false" ht="13.8" hidden="false" customHeight="false" outlineLevel="0" collapsed="false">
      <c r="A41" s="0" t="n">
        <v>40</v>
      </c>
      <c r="B41" s="0" t="s">
        <v>254</v>
      </c>
      <c r="C41" s="0" t="n">
        <v>1000.65</v>
      </c>
      <c r="D41" s="0" t="n">
        <v>357.83</v>
      </c>
      <c r="E41" s="0" t="n">
        <v>160</v>
      </c>
      <c r="F41" s="0" t="n">
        <v>10</v>
      </c>
      <c r="G41" s="0" t="s">
        <v>23</v>
      </c>
      <c r="H41" s="0" t="s">
        <v>246</v>
      </c>
    </row>
    <row r="42" customFormat="false" ht="13.8" hidden="false" customHeight="false" outlineLevel="0" collapsed="false">
      <c r="A42" s="0" t="n">
        <v>41</v>
      </c>
      <c r="B42" s="0" t="s">
        <v>255</v>
      </c>
      <c r="C42" s="0" t="n">
        <v>1000.65</v>
      </c>
      <c r="D42" s="0" t="n">
        <v>497.83</v>
      </c>
      <c r="E42" s="0" t="n">
        <v>160</v>
      </c>
      <c r="F42" s="0" t="n">
        <v>10</v>
      </c>
      <c r="G42" s="0" t="s">
        <v>24</v>
      </c>
      <c r="H42" s="0" t="s">
        <v>246</v>
      </c>
    </row>
    <row r="43" customFormat="false" ht="13.8" hidden="false" customHeight="false" outlineLevel="0" collapsed="false">
      <c r="A43" s="0" t="n">
        <v>42</v>
      </c>
      <c r="B43" s="0" t="s">
        <v>256</v>
      </c>
      <c r="C43" s="0" t="n">
        <v>1000.65</v>
      </c>
      <c r="D43" s="0" t="n">
        <v>677.83</v>
      </c>
      <c r="E43" s="0" t="n">
        <v>160</v>
      </c>
      <c r="F43" s="0" t="n">
        <v>10</v>
      </c>
      <c r="G43" s="0" t="s">
        <v>25</v>
      </c>
      <c r="H43" s="0" t="s">
        <v>246</v>
      </c>
    </row>
    <row r="44" customFormat="false" ht="13.8" hidden="false" customHeight="false" outlineLevel="0" collapsed="false">
      <c r="A44" s="0" t="n">
        <v>43</v>
      </c>
      <c r="B44" s="0" t="s">
        <v>257</v>
      </c>
      <c r="C44" s="0" t="n">
        <v>1075.65</v>
      </c>
      <c r="D44" s="0" t="n">
        <v>267.83</v>
      </c>
      <c r="E44" s="0" t="n">
        <v>85</v>
      </c>
      <c r="F44" s="0" t="n">
        <v>10</v>
      </c>
      <c r="G44" s="0" t="s">
        <v>26</v>
      </c>
      <c r="H44" s="0" t="s">
        <v>246</v>
      </c>
    </row>
    <row r="45" customFormat="false" ht="13.8" hidden="false" customHeight="false" outlineLevel="0" collapsed="false">
      <c r="A45" s="0" t="n">
        <v>44</v>
      </c>
      <c r="B45" s="0" t="s">
        <v>258</v>
      </c>
      <c r="C45" s="0" t="n">
        <v>1000.65</v>
      </c>
      <c r="D45" s="0" t="n">
        <v>587.8</v>
      </c>
      <c r="E45" s="0" t="n">
        <v>160</v>
      </c>
      <c r="F45" s="0" t="n">
        <v>10</v>
      </c>
      <c r="G45" s="0" t="s">
        <v>27</v>
      </c>
      <c r="H45" s="0" t="s">
        <v>246</v>
      </c>
    </row>
    <row r="46" customFormat="false" ht="13.8" hidden="false" customHeight="false" outlineLevel="0" collapsed="false">
      <c r="A46" s="0" t="n">
        <v>45</v>
      </c>
      <c r="B46" s="0" t="s">
        <v>259</v>
      </c>
      <c r="C46" s="0" t="n">
        <v>848.92</v>
      </c>
      <c r="D46" s="0" t="n">
        <v>122.83</v>
      </c>
      <c r="E46" s="0" t="n">
        <v>10</v>
      </c>
      <c r="F46" s="0" t="n">
        <v>625</v>
      </c>
      <c r="G46" s="0" t="s">
        <v>28</v>
      </c>
      <c r="H46" s="0" t="s">
        <v>246</v>
      </c>
    </row>
    <row r="47" customFormat="false" ht="13.8" hidden="false" customHeight="false" outlineLevel="0" collapsed="false">
      <c r="A47" s="0" t="n">
        <v>46</v>
      </c>
      <c r="B47" s="0" t="s">
        <v>260</v>
      </c>
      <c r="C47" s="0" t="n">
        <v>1075.65</v>
      </c>
      <c r="D47" s="0" t="n">
        <v>122.83</v>
      </c>
      <c r="E47" s="0" t="n">
        <v>10</v>
      </c>
      <c r="F47" s="0" t="n">
        <v>625</v>
      </c>
      <c r="G47" s="0" t="s">
        <v>29</v>
      </c>
      <c r="H47" s="0" t="s">
        <v>246</v>
      </c>
    </row>
    <row r="48" customFormat="false" ht="13.8" hidden="false" customHeight="false" outlineLevel="0" collapsed="false">
      <c r="A48" s="0" t="n">
        <v>47</v>
      </c>
      <c r="B48" s="0" t="s">
        <v>261</v>
      </c>
      <c r="C48" s="0" t="n">
        <v>514.76</v>
      </c>
      <c r="D48" s="0" t="n">
        <v>427.83</v>
      </c>
      <c r="E48" s="0" t="n">
        <v>790.12</v>
      </c>
      <c r="F48" s="0" t="n">
        <v>10</v>
      </c>
      <c r="G48" s="0" t="s">
        <v>80</v>
      </c>
      <c r="H48" s="0" t="s">
        <v>246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2022-12-09T23:37:18Z</dcterms:created>
  <dc:creator>SpaceTrex_Imhotep</dc:creator>
  <dc:description/>
  <dc:language>en-US</dc:language>
  <cp:lastModifiedBy/>
  <dcterms:modified xsi:type="dcterms:W3CDTF">2025-04-23T16:14:32Z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